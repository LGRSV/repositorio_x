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el" sheetId="1" state="visible" r:id="rId1"/>
    <sheet xmlns:r="http://schemas.openxmlformats.org/officeDocument/2006/relationships" name="Seleção" sheetId="2" state="visible" r:id="rId2"/>
    <sheet xmlns:r="http://schemas.openxmlformats.org/officeDocument/2006/relationships" name="OS × formulário" sheetId="3" state="visible" r:id="rId3"/>
    <sheet xmlns:r="http://schemas.openxmlformats.org/officeDocument/2006/relationships" name="Linha do tempo" sheetId="4" state="visible" r:id="rId4"/>
    <sheet xmlns:r="http://schemas.openxmlformats.org/officeDocument/2006/relationships" name="Conferência da Crítica" sheetId="5" state="visible" r:id="rId5"/>
    <sheet xmlns:r="http://schemas.openxmlformats.org/officeDocument/2006/relationships" name="Investigação" sheetId="6" state="visible" r:id="rId6"/>
    <sheet xmlns:r="http://schemas.openxmlformats.org/officeDocument/2006/relationships" name="Causa" sheetId="7" state="visible" r:id="rId7"/>
    <sheet xmlns:r="http://schemas.openxmlformats.org/officeDocument/2006/relationships" name="Dossiê" sheetId="8" state="visible" r:id="rId8"/>
  </sheets>
  <definedNames>
    <definedName name="_xlnm._FilterDatabase" localSheetId="6" hidden="1">'Causa'!$A$4:$K$20</definedName>
    <definedName name="_xlnm._FilterDatabase" localSheetId="7" hidden="1">'Dossiê'!$A$4:$R$20</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1F1F4C"/>
      <sz val="17"/>
    </font>
    <font>
      <name val="Calibri"/>
      <color rgb="00595959"/>
      <sz val="10.5"/>
    </font>
    <font>
      <name val="Calibri"/>
      <b val="1"/>
      <color rgb="00595959"/>
      <sz val="11"/>
    </font>
    <font>
      <name val="Calibri"/>
      <sz val="11"/>
    </font>
    <font>
      <name val="Calibri"/>
      <b val="1"/>
      <color rgb="001F1F4C"/>
      <sz val="20"/>
    </font>
    <font>
      <name val="Calibri"/>
      <i val="1"/>
      <color rgb="00595959"/>
      <sz val="10"/>
    </font>
    <font>
      <name val="Calibri"/>
      <b val="1"/>
      <color rgb="002F5597"/>
      <sz val="20"/>
    </font>
    <font>
      <name val="Calibri"/>
      <b val="1"/>
      <color rgb="00C55A11"/>
      <sz val="20"/>
    </font>
    <font>
      <name val="Calibri"/>
      <b val="1"/>
      <color rgb="00548235"/>
      <sz val="20"/>
    </font>
    <font>
      <name val="Calibri"/>
      <b val="1"/>
      <color rgb="00C00000"/>
      <sz val="20"/>
    </font>
    <font>
      <name val="Calibri"/>
      <b val="1"/>
      <color rgb="002F5597"/>
      <sz val="11"/>
    </font>
    <font>
      <name val="Calibri"/>
      <sz val="10.5"/>
    </font>
    <font>
      <name val="Calibri"/>
      <b val="1"/>
      <color rgb="00C55A11"/>
      <sz val="11"/>
    </font>
    <font>
      <name val="Calibri"/>
      <i val="1"/>
      <color rgb="00C55A11"/>
      <sz val="10.5"/>
    </font>
    <font>
      <name val="Calibri"/>
      <b val="1"/>
      <color rgb="00FFFFFF"/>
      <sz val="11"/>
    </font>
    <font>
      <name val="Calibri"/>
      <b val="1"/>
      <color rgb="00FFFFFF"/>
      <sz val="8"/>
    </font>
    <font>
      <name val="Calibri"/>
      <b val="1"/>
      <sz val="10.5"/>
    </font>
    <font>
      <name val="Calibri"/>
      <sz val="10"/>
    </font>
    <font>
      <name val="Calibri"/>
      <b val="1"/>
      <color rgb="00C00000"/>
      <sz val="10"/>
    </font>
    <font>
      <name val="Calibri"/>
      <b val="1"/>
      <color rgb="00548235"/>
      <sz val="10"/>
    </font>
    <font>
      <name val="Calibri"/>
      <b val="1"/>
      <color rgb="00595959"/>
      <sz val="10"/>
    </font>
    <font>
      <name val="Calibri"/>
      <color rgb="00595959"/>
      <sz val="9.5"/>
    </font>
    <font>
      <name val="Calibri"/>
      <b val="1"/>
      <color rgb="00C55A11"/>
      <sz val="10.5"/>
    </font>
    <font>
      <name val="Calibri"/>
      <b val="1"/>
      <color rgb="002F5597"/>
      <sz val="10.5"/>
    </font>
    <font>
      <name val="Calibri"/>
      <b val="1"/>
      <color rgb="00548235"/>
      <sz val="10.5"/>
    </font>
    <font>
      <name val="Calibri"/>
      <b val="1"/>
      <color rgb="00595959"/>
      <sz val="10.5"/>
    </font>
    <font>
      <name val="Calibri"/>
      <b val="1"/>
      <color rgb="00C00000"/>
      <sz val="10.5"/>
    </font>
    <font>
      <name val="Calibri"/>
      <b val="1"/>
      <color rgb="001F1F4C"/>
      <sz val="12"/>
    </font>
    <font>
      <name val="Calibri"/>
      <b val="1"/>
      <color rgb="00548235"/>
      <sz val="11"/>
    </font>
    <font>
      <name val="Calibri"/>
      <b val="1"/>
      <color rgb="00C00000"/>
      <sz val="11"/>
    </font>
    <font>
      <name val="Calibri"/>
      <b val="1"/>
      <color rgb="00FFFFFF"/>
      <sz val="12"/>
    </font>
    <font>
      <name val="Calibri"/>
      <b val="1"/>
      <sz val="11"/>
    </font>
    <font>
      <name val="Calibri"/>
      <b val="1"/>
      <color rgb="00FFFFFF"/>
      <sz val="10.5"/>
    </font>
  </fonts>
  <fills count="14">
    <fill>
      <patternFill/>
    </fill>
    <fill>
      <patternFill patternType="gray125"/>
    </fill>
    <fill>
      <patternFill patternType="solid">
        <fgColor rgb="001F1F4C"/>
      </patternFill>
    </fill>
    <fill>
      <patternFill patternType="solid">
        <fgColor rgb="00F4F6F9"/>
      </patternFill>
    </fill>
    <fill>
      <patternFill patternType="solid">
        <fgColor rgb="002F5597"/>
      </patternFill>
    </fill>
    <fill>
      <patternFill patternType="solid">
        <fgColor rgb="00C55A11"/>
      </patternFill>
    </fill>
    <fill>
      <patternFill patternType="solid">
        <fgColor rgb="00BFBFBF"/>
      </patternFill>
    </fill>
    <fill>
      <patternFill patternType="solid">
        <fgColor rgb="00C00000"/>
      </patternFill>
    </fill>
    <fill>
      <patternFill patternType="solid">
        <fgColor rgb="00FFFFFF"/>
      </patternFill>
    </fill>
    <fill>
      <patternFill patternType="solid">
        <fgColor rgb="00548235"/>
      </patternFill>
    </fill>
    <fill>
      <patternFill patternType="solid">
        <fgColor rgb="00FDECE4"/>
      </patternFill>
    </fill>
    <fill>
      <patternFill patternType="solid">
        <fgColor rgb="00595959"/>
      </patternFill>
    </fill>
    <fill>
      <patternFill patternType="solid">
        <fgColor rgb="00FEF5EC"/>
      </patternFill>
    </fill>
    <fill>
      <patternFill patternType="solid">
        <fgColor rgb="00EAF3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1" fillId="0" borderId="0" pivotButton="0" quotePrefix="0" xfId="0"/>
    <xf numFmtId="0" fontId="13" fillId="0" borderId="0" pivotButton="0" quotePrefix="0" xfId="0"/>
    <xf numFmtId="0" fontId="4" fillId="0" borderId="0" pivotButton="0" quotePrefix="0" xfId="0"/>
    <xf numFmtId="0" fontId="5" fillId="0" borderId="0" applyAlignment="1" pivotButton="0" quotePrefix="0" xfId="0">
      <alignment horizontal="center"/>
    </xf>
    <xf numFmtId="0" fontId="6" fillId="0" borderId="0" pivotButton="0" quotePrefix="0" xfId="0"/>
    <xf numFmtId="0" fontId="12" fillId="0" borderId="0" pivotButton="0" quotePrefix="0" xfId="0"/>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xf>
    <xf numFmtId="0" fontId="14" fillId="0" borderId="0" pivotButton="0" quotePrefix="0" xfId="0"/>
    <xf numFmtId="0" fontId="15" fillId="2" borderId="1" applyAlignment="1" pivotButton="0" quotePrefix="0" xfId="0">
      <alignment horizontal="left" vertical="center" wrapText="1"/>
    </xf>
    <xf numFmtId="0" fontId="15" fillId="2" borderId="1" applyAlignment="1" pivotButton="0" quotePrefix="0" xfId="0">
      <alignment horizontal="center" vertical="center" wrapText="1"/>
    </xf>
    <xf numFmtId="0" fontId="16" fillId="2" borderId="1" applyAlignment="1" pivotButton="0" quotePrefix="0" xfId="0">
      <alignment horizontal="center"/>
    </xf>
    <xf numFmtId="0" fontId="17"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center" vertical="center"/>
    </xf>
    <xf numFmtId="0" fontId="19" fillId="0" borderId="1"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0" fillId="0" borderId="1" applyAlignment="1" pivotButton="0" quotePrefix="0" xfId="0">
      <alignment horizontal="center" vertical="center"/>
    </xf>
    <xf numFmtId="0" fontId="0" fillId="8" borderId="0" pivotButton="0" quotePrefix="0" xfId="0"/>
    <xf numFmtId="0" fontId="0" fillId="9" borderId="0" pivotButton="0" quotePrefix="0" xfId="0"/>
    <xf numFmtId="0" fontId="21" fillId="0" borderId="0" pivotButton="0" quotePrefix="0" xfId="0"/>
    <xf numFmtId="0" fontId="22" fillId="0" borderId="0" pivotButton="0" quotePrefix="0" xfId="0"/>
    <xf numFmtId="0" fontId="12" fillId="10" borderId="1" applyAlignment="1" pivotButton="0" quotePrefix="0" xfId="0">
      <alignment horizontal="left" vertical="center"/>
    </xf>
    <xf numFmtId="0" fontId="12" fillId="10" borderId="1" applyAlignment="1" pivotButton="0" quotePrefix="0" xfId="0">
      <alignment horizontal="center" vertical="center"/>
    </xf>
    <xf numFmtId="0" fontId="12" fillId="10" borderId="1" applyAlignment="1" pivotButton="0" quotePrefix="0" xfId="0">
      <alignment horizontal="left" vertical="center" wrapText="1"/>
    </xf>
    <xf numFmtId="0" fontId="23" fillId="10" borderId="1" applyAlignment="1" pivotButton="0" quotePrefix="0" xfId="0">
      <alignment horizontal="center" vertical="center"/>
    </xf>
    <xf numFmtId="0" fontId="24" fillId="10" borderId="1" applyAlignment="1" pivotButton="0" quotePrefix="0" xfId="0">
      <alignment horizontal="left" vertical="center"/>
    </xf>
    <xf numFmtId="0" fontId="12" fillId="3" borderId="1" applyAlignment="1" pivotButton="0" quotePrefix="0" xfId="0">
      <alignment horizontal="left" vertical="center"/>
    </xf>
    <xf numFmtId="0" fontId="12" fillId="3" borderId="1" applyAlignment="1" pivotButton="0" quotePrefix="0" xfId="0">
      <alignment horizontal="center" vertical="center"/>
    </xf>
    <xf numFmtId="0" fontId="12" fillId="3" borderId="1" applyAlignment="1" pivotButton="0" quotePrefix="0" xfId="0">
      <alignment horizontal="left" vertical="center" wrapText="1"/>
    </xf>
    <xf numFmtId="0" fontId="23" fillId="3" borderId="1"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25" fillId="0" borderId="1" applyAlignment="1" pivotButton="0" quotePrefix="0" xfId="0">
      <alignment horizontal="center" vertical="center"/>
    </xf>
    <xf numFmtId="0" fontId="23" fillId="10" borderId="1" applyAlignment="1" pivotButton="0" quotePrefix="0" xfId="0">
      <alignment horizontal="left" vertical="center"/>
    </xf>
    <xf numFmtId="0" fontId="25" fillId="3" borderId="1" applyAlignment="1" pivotButton="0" quotePrefix="0" xfId="0">
      <alignment horizontal="center" vertical="center"/>
    </xf>
    <xf numFmtId="0" fontId="24" fillId="3" borderId="1" applyAlignment="1" pivotButton="0" quotePrefix="0" xfId="0">
      <alignment horizontal="left" vertical="center"/>
    </xf>
    <xf numFmtId="0" fontId="23" fillId="0" borderId="1" applyAlignment="1" pivotButton="0" quotePrefix="0" xfId="0">
      <alignment horizontal="left" vertical="center"/>
    </xf>
    <xf numFmtId="0" fontId="18" fillId="0" borderId="1" applyAlignment="1" pivotButton="0" quotePrefix="0" xfId="0">
      <alignment vertical="top"/>
    </xf>
    <xf numFmtId="0" fontId="19" fillId="0" borderId="1" applyAlignment="1" pivotButton="0" quotePrefix="0" xfId="0">
      <alignment vertical="top"/>
    </xf>
    <xf numFmtId="0" fontId="18" fillId="0" borderId="1" applyAlignment="1" pivotButton="0" quotePrefix="0" xfId="0">
      <alignment vertical="top" wrapText="1"/>
    </xf>
    <xf numFmtId="0" fontId="18" fillId="3" borderId="1" applyAlignment="1" pivotButton="0" quotePrefix="0" xfId="0">
      <alignment vertical="top"/>
    </xf>
    <xf numFmtId="0" fontId="20" fillId="3" borderId="1" applyAlignment="1" pivotButton="0" quotePrefix="0" xfId="0">
      <alignment vertical="top"/>
    </xf>
    <xf numFmtId="0" fontId="18" fillId="3" borderId="1" applyAlignment="1" pivotButton="0" quotePrefix="0" xfId="0">
      <alignment vertical="top" wrapText="1"/>
    </xf>
    <xf numFmtId="0" fontId="20" fillId="0" borderId="1" applyAlignment="1" pivotButton="0" quotePrefix="0" xfId="0">
      <alignment vertical="top"/>
    </xf>
    <xf numFmtId="0" fontId="15" fillId="2" borderId="1" applyAlignment="1" pivotButton="0" quotePrefix="0" xfId="0">
      <alignment vertical="center" wrapText="1"/>
    </xf>
    <xf numFmtId="0" fontId="12" fillId="0" borderId="1" applyAlignment="1" pivotButton="0" quotePrefix="0" xfId="0">
      <alignment horizontal="left" vertical="top"/>
    </xf>
    <xf numFmtId="0" fontId="26" fillId="0" borderId="1" applyAlignment="1" pivotButton="0" quotePrefix="0" xfId="0">
      <alignment horizontal="left"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2" fillId="10" borderId="1" applyAlignment="1" pivotButton="0" quotePrefix="0" xfId="0">
      <alignment horizontal="left" vertical="top"/>
    </xf>
    <xf numFmtId="0" fontId="23" fillId="10" borderId="1" applyAlignment="1" pivotButton="0" quotePrefix="0" xfId="0">
      <alignment horizontal="left" vertical="top"/>
    </xf>
    <xf numFmtId="0" fontId="12" fillId="10" borderId="1" applyAlignment="1" pivotButton="0" quotePrefix="0" xfId="0">
      <alignment horizontal="center" vertical="top"/>
    </xf>
    <xf numFmtId="0" fontId="12" fillId="10" borderId="1" applyAlignment="1" pivotButton="0" quotePrefix="0" xfId="0">
      <alignment horizontal="left" vertical="top" wrapText="1"/>
    </xf>
    <xf numFmtId="0" fontId="25" fillId="0" borderId="1" applyAlignment="1" pivotButton="0" quotePrefix="0" xfId="0">
      <alignment horizontal="left" vertical="top"/>
    </xf>
    <xf numFmtId="0" fontId="12" fillId="3" borderId="1" applyAlignment="1" pivotButton="0" quotePrefix="0" xfId="0">
      <alignment horizontal="left" vertical="top"/>
    </xf>
    <xf numFmtId="0" fontId="26" fillId="3" borderId="1" applyAlignment="1" pivotButton="0" quotePrefix="0" xfId="0">
      <alignment horizontal="left" vertical="top"/>
    </xf>
    <xf numFmtId="0" fontId="12" fillId="3" borderId="1" applyAlignment="1" pivotButton="0" quotePrefix="0" xfId="0">
      <alignment horizontal="center" vertical="top"/>
    </xf>
    <xf numFmtId="0" fontId="12" fillId="3" borderId="1" applyAlignment="1" pivotButton="0" quotePrefix="0" xfId="0">
      <alignment horizontal="left" vertical="top" wrapText="1"/>
    </xf>
    <xf numFmtId="0" fontId="25" fillId="3" borderId="1" applyAlignment="1" pivotButton="0" quotePrefix="0" xfId="0">
      <alignment horizontal="left" vertical="top"/>
    </xf>
    <xf numFmtId="0" fontId="27" fillId="10" borderId="1" applyAlignment="1" pivotButton="0" quotePrefix="0" xfId="0">
      <alignment horizontal="left" vertical="top"/>
    </xf>
    <xf numFmtId="0" fontId="28" fillId="0" borderId="0" pivotButton="0" quotePrefix="0" xfId="0"/>
    <xf numFmtId="0" fontId="29" fillId="0" borderId="0" pivotButton="0" quotePrefix="0" xfId="0"/>
    <xf numFmtId="0" fontId="30" fillId="0" borderId="0" pivotButton="0" quotePrefix="0" xfId="0"/>
    <xf numFmtId="0" fontId="31" fillId="2" borderId="0" pivotButton="0" quotePrefix="0" xfId="0"/>
    <xf numFmtId="0" fontId="32" fillId="0" borderId="1" applyAlignment="1" pivotButton="0" quotePrefix="0" xfId="0">
      <alignment vertical="top" wrapText="1"/>
    </xf>
    <xf numFmtId="0" fontId="2" fillId="0" borderId="1" applyAlignment="1" pivotButton="0" quotePrefix="0" xfId="0">
      <alignment vertical="top" wrapText="1"/>
    </xf>
    <xf numFmtId="0" fontId="12" fillId="0" borderId="1" applyAlignment="1" pivotButton="0" quotePrefix="0" xfId="0">
      <alignment vertical="top" wrapText="1"/>
    </xf>
    <xf numFmtId="0" fontId="31" fillId="5" borderId="0" pivotButton="0" quotePrefix="0" xfId="0"/>
    <xf numFmtId="0" fontId="31" fillId="7" borderId="0" pivotButton="0" quotePrefix="0" xfId="0"/>
    <xf numFmtId="0" fontId="31" fillId="11" borderId="0" pivotButton="0" quotePrefix="0" xfId="0"/>
    <xf numFmtId="0" fontId="12" fillId="0" borderId="1" applyAlignment="1" pivotButton="0" quotePrefix="0" xfId="0">
      <alignment horizontal="left" vertical="top"/>
    </xf>
    <xf numFmtId="0" fontId="12" fillId="0" borderId="1" applyAlignment="1" pivotButton="0" quotePrefix="0" xfId="0">
      <alignment horizontal="center" vertical="top"/>
    </xf>
    <xf numFmtId="0" fontId="25" fillId="0" borderId="1" applyAlignment="1" pivotButton="0" quotePrefix="0" xfId="0">
      <alignment horizontal="center" vertical="top"/>
    </xf>
    <xf numFmtId="0" fontId="12" fillId="12" borderId="1" applyAlignment="1" pivotButton="0" quotePrefix="0" xfId="0">
      <alignment horizontal="left" vertical="top"/>
    </xf>
    <xf numFmtId="0" fontId="12" fillId="12" borderId="1" applyAlignment="1" pivotButton="0" quotePrefix="0" xfId="0">
      <alignment horizontal="center" vertical="top"/>
    </xf>
    <xf numFmtId="0" fontId="23" fillId="12" borderId="1" applyAlignment="1" pivotButton="0" quotePrefix="0" xfId="0">
      <alignment horizontal="center" vertical="top"/>
    </xf>
    <xf numFmtId="0" fontId="12" fillId="12" borderId="1" applyAlignment="1" pivotButton="0" quotePrefix="0" xfId="0">
      <alignment horizontal="left" vertical="top" wrapText="1"/>
    </xf>
    <xf numFmtId="0" fontId="12" fillId="3" borderId="1" applyAlignment="1" pivotButton="0" quotePrefix="0" xfId="0">
      <alignment horizontal="left" vertical="top"/>
    </xf>
    <xf numFmtId="0" fontId="12" fillId="3" borderId="1" applyAlignment="1" pivotButton="0" quotePrefix="0" xfId="0">
      <alignment horizontal="center" vertical="top"/>
    </xf>
    <xf numFmtId="0" fontId="25" fillId="3" borderId="1" applyAlignment="1" pivotButton="0" quotePrefix="0" xfId="0">
      <alignment horizontal="center" vertical="top"/>
    </xf>
    <xf numFmtId="0" fontId="12" fillId="10" borderId="1" applyAlignment="1" pivotButton="0" quotePrefix="0" xfId="0">
      <alignment horizontal="left" vertical="top"/>
    </xf>
    <xf numFmtId="0" fontId="12" fillId="10" borderId="1" applyAlignment="1" pivotButton="0" quotePrefix="0" xfId="0">
      <alignment horizontal="center" vertical="top"/>
    </xf>
    <xf numFmtId="0" fontId="27" fillId="10" borderId="1" applyAlignment="1" pivotButton="0" quotePrefix="0" xfId="0">
      <alignment horizontal="center" vertical="top"/>
    </xf>
    <xf numFmtId="0" fontId="12" fillId="0" borderId="1" applyAlignment="1" pivotButton="0" quotePrefix="0" xfId="0">
      <alignment horizontal="left" vertical="top"/>
    </xf>
    <xf numFmtId="0" fontId="12" fillId="0" borderId="1" applyAlignment="1" pivotButton="0" quotePrefix="0" xfId="0">
      <alignment horizontal="center" vertical="top"/>
    </xf>
    <xf numFmtId="0" fontId="26" fillId="0" borderId="1" applyAlignment="1" pivotButton="0" quotePrefix="0" xfId="0">
      <alignment horizontal="center" vertical="top"/>
    </xf>
    <xf numFmtId="0" fontId="12" fillId="3" borderId="1" applyAlignment="1" pivotButton="0" quotePrefix="0" xfId="0">
      <alignment horizontal="left" vertical="top"/>
    </xf>
    <xf numFmtId="0" fontId="12" fillId="3" borderId="1" applyAlignment="1" pivotButton="0" quotePrefix="0" xfId="0">
      <alignment horizontal="center" vertical="top"/>
    </xf>
    <xf numFmtId="0" fontId="25" fillId="13" borderId="1" applyAlignment="1" pivotButton="0" quotePrefix="0" xfId="0">
      <alignment horizontal="center" vertical="top"/>
    </xf>
    <xf numFmtId="0" fontId="12" fillId="12" borderId="1" applyAlignment="1" pivotButton="0" quotePrefix="0" xfId="0">
      <alignment horizontal="left" vertical="top"/>
    </xf>
    <xf numFmtId="0" fontId="12" fillId="12" borderId="1" applyAlignment="1" pivotButton="0" quotePrefix="0" xfId="0">
      <alignment horizontal="center" vertical="top"/>
    </xf>
    <xf numFmtId="0" fontId="23" fillId="12" borderId="1" applyAlignment="1" pivotButton="0" quotePrefix="0" xfId="0">
      <alignment horizontal="center" vertical="top"/>
    </xf>
    <xf numFmtId="0" fontId="25" fillId="3" borderId="1" applyAlignment="1" pivotButton="0" quotePrefix="0" xfId="0">
      <alignment horizontal="center" vertical="top"/>
    </xf>
    <xf numFmtId="0" fontId="12" fillId="10" borderId="1" applyAlignment="1" pivotButton="0" quotePrefix="0" xfId="0">
      <alignment horizontal="left" vertical="top"/>
    </xf>
    <xf numFmtId="0" fontId="12" fillId="10" borderId="1" applyAlignment="1" pivotButton="0" quotePrefix="0" xfId="0">
      <alignment horizontal="center" vertical="top"/>
    </xf>
    <xf numFmtId="0" fontId="27" fillId="10" borderId="1" applyAlignment="1" pivotButton="0" quotePrefix="0" xfId="0">
      <alignment horizontal="center" vertical="top"/>
    </xf>
    <xf numFmtId="0" fontId="25" fillId="0" borderId="1" applyAlignment="1" pivotButton="0" quotePrefix="0" xfId="0">
      <alignment horizontal="center" vertical="top"/>
    </xf>
    <xf numFmtId="0" fontId="2" fillId="0" borderId="0" applyAlignment="1" pivotButton="0" quotePrefix="0" xfId="0">
      <alignment vertical="top" wrapText="1"/>
    </xf>
    <xf numFmtId="0" fontId="33" fillId="2" borderId="1" applyAlignment="1" pivotButton="0" quotePrefix="0" xfId="0">
      <alignment horizontal="center" vertical="center" wrapText="1"/>
    </xf>
    <xf numFmtId="0" fontId="18" fillId="3" borderId="1" applyAlignment="1" pivotButton="0" quotePrefix="0" xfId="0">
      <alignment horizontal="left" vertical="center"/>
    </xf>
    <xf numFmtId="0" fontId="18" fillId="3" borderId="1" applyAlignment="1" pivotButton="0" quotePrefix="0" xfId="0">
      <alignment horizontal="center" vertical="center"/>
    </xf>
    <xf numFmtId="0" fontId="20" fillId="3" borderId="1" applyAlignment="1" pivotButton="0" quotePrefix="0" xfId="0">
      <alignment horizontal="center" vertical="center"/>
    </xf>
    <xf numFmtId="0" fontId="19" fillId="10" borderId="1" applyAlignment="1" pivotButton="0" quotePrefix="0" xfId="0">
      <alignment horizontal="center" vertical="center"/>
    </xf>
    <xf numFmtId="0" fontId="21" fillId="3" borderId="1" applyAlignment="1" pivotButton="0" quotePrefix="0" xfId="0">
      <alignment horizontal="center" vertical="center"/>
    </xf>
  </cellXfs>
  <cellStyles count="1">
    <cellStyle name="Normal" xfId="0" builtinId="0" hidden="0"/>
  </cellStyles>
  <dxfs count="1">
    <dxf>
      <fill>
        <patternFill patternType="solid">
          <f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Subcausa registrada na Crítica</a:t>
            </a:r>
          </a:p>
        </rich>
      </tx>
    </title>
    <plotArea>
      <barChart>
        <barDir val="bar"/>
        <grouping val="clustered"/>
        <ser>
          <idx val="0"/>
          <order val="0"/>
          <spPr>
            <a:solidFill xmlns:a="http://schemas.openxmlformats.org/drawingml/2006/main">
              <a:srgbClr val="2F5597"/>
            </a:solidFill>
            <a:ln xmlns:a="http://schemas.openxmlformats.org/drawingml/2006/main">
              <a:noFill/>
              <a:prstDash val="solid"/>
            </a:ln>
          </spPr>
          <cat>
            <numRef>
              <f>'Painel'!$E$5:$E$11</f>
            </numRef>
          </cat>
          <val>
            <numRef>
              <f>'Painel'!$F$5:$F$11</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Provável motivo apontado em campo</a:t>
            </a:r>
          </a:p>
        </rich>
      </tx>
    </title>
    <plotArea>
      <barChart>
        <barDir val="bar"/>
        <grouping val="clustered"/>
        <ser>
          <idx val="0"/>
          <order val="0"/>
          <spPr>
            <a:solidFill xmlns:a="http://schemas.openxmlformats.org/drawingml/2006/main">
              <a:srgbClr val="C55A11"/>
            </a:solidFill>
            <a:ln xmlns:a="http://schemas.openxmlformats.org/drawingml/2006/main">
              <a:noFill/>
              <a:prstDash val="solid"/>
            </a:ln>
          </spPr>
          <cat>
            <numRef>
              <f>'Painel'!$H$5:$H$8</f>
            </numRef>
          </cat>
          <val>
            <numRef>
              <f>'Painel'!$I$5:$I$8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Quando abriu a SS</a:t>
            </a:r>
          </a:p>
        </rich>
      </tx>
    </title>
    <plotArea>
      <barChart>
        <barDir val="bar"/>
        <grouping val="clustered"/>
        <ser>
          <idx val="0"/>
          <order val="0"/>
          <spPr>
            <a:solidFill xmlns:a="http://schemas.openxmlformats.org/drawingml/2006/main">
              <a:srgbClr val="1F1F4C"/>
            </a:solidFill>
            <a:ln xmlns:a="http://schemas.openxmlformats.org/drawingml/2006/main">
              <a:noFill/>
              <a:prstDash val="solid"/>
            </a:ln>
          </spPr>
          <cat>
            <numRef>
              <f>'Painel'!$K$5:$K$12</f>
            </numRef>
          </cat>
          <val>
            <numRef>
              <f>'Painel'!$L$5:$L$12</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12</row>
      <rowOff>0</rowOff>
    </from>
    <ext cx="468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12</row>
      <rowOff>0</rowOff>
    </from>
    <ext cx="4680000" cy="259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28</row>
      <rowOff>0</rowOff>
    </from>
    <ext cx="4680000" cy="23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45"/>
  <sheetViews>
    <sheetView showGridLines="0" workbookViewId="0">
      <selection activeCell="A1" sqref="A1"/>
    </sheetView>
  </sheetViews>
  <sheetFormatPr baseColWidth="8" defaultRowHeight="15"/>
  <cols>
    <col width="44" customWidth="1" min="1" max="1"/>
    <col width="10" customWidth="1" min="2" max="2"/>
    <col width="34" customWidth="1" min="3" max="3"/>
    <col width="3" customWidth="1" min="4" max="4"/>
    <col width="30" customWidth="1" min="5" max="5"/>
    <col width="10" customWidth="1" min="6" max="6"/>
    <col width="3" customWidth="1" min="7" max="7"/>
    <col width="30" customWidth="1" min="8" max="8"/>
    <col width="10" customWidth="1" min="9" max="9"/>
    <col width="8" customWidth="1" min="11" max="11"/>
    <col width="6" customWidth="1" min="12" max="12"/>
  </cols>
  <sheetData>
    <row r="1" ht="24" customHeight="1">
      <c r="A1" s="1" t="inlineStr">
        <is>
          <t>Por que queimaram — 16 trafos rurais de 112,5 e 150 kVA</t>
        </is>
      </c>
    </row>
    <row r="2">
      <c r="A2" s="2" t="inlineStr">
        <is>
          <t>Janeiro a agosto de 2026. Causa registrada na Crítica, laudo de campo e cumprimento do prazo de 72 horas.</t>
        </is>
      </c>
    </row>
    <row r="4">
      <c r="A4" s="3" t="inlineStr">
        <is>
          <t>O QUE O PERÍODO MOSTRA</t>
        </is>
      </c>
      <c r="E4" s="4" t="inlineStr">
        <is>
          <t>SUBCAUSA NA CRÍTICA</t>
        </is>
      </c>
      <c r="H4" s="5" t="inlineStr">
        <is>
          <t>PROVÁVEL MOTIVO EM CAMPO</t>
        </is>
      </c>
      <c r="K4" t="inlineStr">
        <is>
          <t>MÊS</t>
        </is>
      </c>
    </row>
    <row r="5" ht="26" customHeight="1">
      <c r="A5" s="6" t="inlineStr">
        <is>
          <t>Transformadores analisados</t>
        </is>
      </c>
      <c r="B5" s="7" t="n">
        <v>16</v>
      </c>
      <c r="C5" s="8" t="inlineStr"/>
      <c r="E5" s="9" t="inlineStr">
        <is>
          <t>Queimado Por Descarga Atmosferica</t>
        </is>
      </c>
      <c r="F5" s="9" t="n">
        <v>5</v>
      </c>
      <c r="H5" s="9" t="inlineStr">
        <is>
          <t>Não Identificado</t>
        </is>
      </c>
      <c r="I5" s="9" t="n">
        <v>6</v>
      </c>
      <c r="K5" t="inlineStr">
        <is>
          <t>jan</t>
        </is>
      </c>
      <c r="L5" t="n">
        <v>4</v>
      </c>
    </row>
    <row r="6" ht="26" customHeight="1">
      <c r="A6" s="6" t="inlineStr">
        <is>
          <t>Com interrupção registrada na Crítica</t>
        </is>
      </c>
      <c r="B6" s="10" t="n">
        <v>12</v>
      </c>
      <c r="C6" s="8" t="inlineStr">
        <is>
          <t>de 16 — as outras 4 não casaram</t>
        </is>
      </c>
      <c r="E6" s="9" t="inlineStr">
        <is>
          <t>Rd De Bt</t>
        </is>
      </c>
      <c r="F6" s="9" t="n">
        <v>2</v>
      </c>
      <c r="H6" s="9" t="inlineStr">
        <is>
          <t>Descarga Atmosferica</t>
        </is>
      </c>
      <c r="I6" s="9" t="n">
        <v>5</v>
      </c>
      <c r="K6" t="inlineStr">
        <is>
          <t>fev</t>
        </is>
      </c>
      <c r="L6" t="n">
        <v>1</v>
      </c>
    </row>
    <row r="7" ht="26" customHeight="1">
      <c r="A7" s="6" t="inlineStr">
        <is>
          <t>Com descarga atmosférica na subcausa</t>
        </is>
      </c>
      <c r="B7" s="11" t="n">
        <v>6</v>
      </c>
      <c r="C7" s="8" t="inlineStr">
        <is>
          <t>5 queimado por descarga + 1 meio ambiente</t>
        </is>
      </c>
      <c r="E7" s="9" t="inlineStr">
        <is>
          <t>Falha Bucha De At</t>
        </is>
      </c>
      <c r="F7" s="9" t="n">
        <v>1</v>
      </c>
      <c r="H7" s="9" t="inlineStr">
        <is>
          <t>Sobrecarga</t>
        </is>
      </c>
      <c r="I7" s="9" t="n">
        <v>3</v>
      </c>
      <c r="K7" t="inlineStr">
        <is>
          <t>mar</t>
        </is>
      </c>
      <c r="L7" t="n">
        <v>2</v>
      </c>
    </row>
    <row r="8" ht="26" customHeight="1">
      <c r="A8" s="6" t="inlineStr">
        <is>
          <t>Laudos de campo sem causa definida</t>
        </is>
      </c>
      <c r="B8" s="11" t="n">
        <v>6</v>
      </c>
      <c r="C8" s="8" t="inlineStr">
        <is>
          <t>de 15 laudos preenchidos</t>
        </is>
      </c>
      <c r="E8" s="9" t="inlineStr">
        <is>
          <t>Descarga Atmosferica</t>
        </is>
      </c>
      <c r="F8" s="9" t="n">
        <v>1</v>
      </c>
      <c r="H8" s="9" t="inlineStr">
        <is>
          <t>Vazamento De Oleo</t>
        </is>
      </c>
      <c r="I8" s="9" t="n">
        <v>1</v>
      </c>
      <c r="K8" t="inlineStr">
        <is>
          <t>abr</t>
        </is>
      </c>
      <c r="L8" t="n">
        <v>4</v>
      </c>
    </row>
    <row r="9" ht="26" customHeight="1">
      <c r="A9" s="6" t="inlineStr">
        <is>
          <t>Atendimentos dentro das 72 h</t>
        </is>
      </c>
      <c r="B9" s="12" t="n">
        <v>14</v>
      </c>
      <c r="C9" s="8" t="inlineStr">
        <is>
          <t>de 15</t>
        </is>
      </c>
      <c r="E9" s="9" t="inlineStr">
        <is>
          <t>Falha Bucha De Bt</t>
        </is>
      </c>
      <c r="F9" s="9" t="n">
        <v>1</v>
      </c>
      <c r="K9" t="inlineStr">
        <is>
          <t>mai</t>
        </is>
      </c>
      <c r="L9" t="n">
        <v>0</v>
      </c>
    </row>
    <row r="10" ht="26" customHeight="1">
      <c r="A10" s="6" t="inlineStr">
        <is>
          <t>Fora do prazo</t>
        </is>
      </c>
      <c r="B10" s="13" t="n">
        <v>1</v>
      </c>
      <c r="C10" s="8" t="inlineStr">
        <is>
          <t>ETO-RD-DP 00011/2026</t>
        </is>
      </c>
      <c r="E10" s="9" t="inlineStr">
        <is>
          <t>Vazamento De Oleo / Tanque Deteriorado</t>
        </is>
      </c>
      <c r="F10" s="9" t="n">
        <v>1</v>
      </c>
      <c r="K10" t="inlineStr">
        <is>
          <t>jun</t>
        </is>
      </c>
      <c r="L10" t="n">
        <v>1</v>
      </c>
    </row>
    <row r="11">
      <c r="E11" s="9" t="inlineStr">
        <is>
          <t>Causa Nao Identificada - Especificar</t>
        </is>
      </c>
      <c r="F11" s="9" t="n">
        <v>1</v>
      </c>
      <c r="K11" t="inlineStr">
        <is>
          <t>jul</t>
        </is>
      </c>
      <c r="L11" t="n">
        <v>1</v>
      </c>
    </row>
    <row r="12">
      <c r="K12" t="inlineStr">
        <is>
          <t>ago</t>
        </is>
      </c>
      <c r="L12" t="n">
        <v>2</v>
      </c>
    </row>
    <row r="45">
      <c r="A45" s="14" t="inlineStr">
        <is>
          <t>Duas datas não fecham: em ETO-RD-GU 00061/2026 a ocorrência casada é de 30/04 e a SS é de 13/01; em ETO-RD-GR 00405/2026 a SS abriu 5 h antes da interrupção. Conferir antes de usar a causa.</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28"/>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3" customWidth="1" min="2" max="2"/>
    <col width="10" customWidth="1" min="3" max="3"/>
    <col width="10" customWidth="1" min="4" max="4"/>
    <col width="15" customWidth="1" min="5" max="5"/>
    <col width="15" customWidth="1" min="6" max="6"/>
    <col width="46" customWidth="1" min="7" max="7"/>
    <col width="15" customWidth="1" min="8" max="8"/>
    <col width="80" customWidth="1" min="9" max="9"/>
  </cols>
  <sheetData>
    <row r="1">
      <c r="A1" s="1" t="inlineStr">
        <is>
          <t>Os 16 estão certos na seleção?</t>
        </is>
      </c>
    </row>
    <row r="2">
      <c r="A2" s="2" t="inlineStr">
        <is>
          <t>Critério: transformador rural de 112,5 ou 150 kVA que queimou. Potência conferida em quatro fontes: planilha (Infotrafo), FIS de julho, formulário de campo e o texto que o executante escreveu na OS e na SS.</t>
        </is>
      </c>
    </row>
    <row r="4" ht="32" customHeight="1">
      <c r="A4" s="15" t="inlineStr">
        <is>
          <t>SS</t>
        </is>
      </c>
      <c r="B4" s="16" t="inlineStr">
        <is>
          <t>Transformador</t>
        </is>
      </c>
      <c r="C4" s="16" t="inlineStr">
        <is>
          <t>Planilha</t>
        </is>
      </c>
      <c r="D4" s="16" t="inlineStr">
        <is>
          <t>FIS jul/26</t>
        </is>
      </c>
      <c r="E4" s="16" t="inlineStr">
        <is>
          <t>Formulário ret → inst</t>
        </is>
      </c>
      <c r="F4" s="16" t="inlineStr">
        <is>
          <t>Texto ret → inst</t>
        </is>
      </c>
      <c r="G4" s="16" t="inlineStr">
        <is>
          <t>Onde o executante escreveu</t>
        </is>
      </c>
      <c r="H4" s="16" t="inlineStr">
        <is>
          <t>Veredito</t>
        </is>
      </c>
      <c r="I4" s="16" t="inlineStr">
        <is>
          <t>Por quê</t>
        </is>
      </c>
    </row>
    <row r="5" ht="34" customHeight="1">
      <c r="A5" s="95" t="inlineStr">
        <is>
          <t>ETO-RD-GR 00915/2026</t>
        </is>
      </c>
      <c r="B5" s="95" t="inlineStr">
        <is>
          <t>5700239104</t>
        </is>
      </c>
      <c r="C5" s="96" t="inlineStr">
        <is>
          <t>112.5</t>
        </is>
      </c>
      <c r="D5" s="96" t="inlineStr">
        <is>
          <t>112.5</t>
        </is>
      </c>
      <c r="E5" s="96" t="inlineStr">
        <is>
          <t>— → —</t>
        </is>
      </c>
      <c r="F5" s="96" t="inlineStr">
        <is>
          <t>— → —</t>
        </is>
      </c>
      <c r="G5" s="60" t="inlineStr">
        <is>
          <t>—</t>
        </is>
      </c>
      <c r="H5" s="97" t="inlineStr">
        <is>
          <t>SEM DADO</t>
        </is>
      </c>
      <c r="I5" s="60" t="inlineStr">
        <is>
          <t>A SS não está na base de SS/OS nem no FIS — é posterior ao recorte.</t>
        </is>
      </c>
    </row>
    <row r="6" ht="52" customHeight="1">
      <c r="A6" s="98" t="inlineStr">
        <is>
          <t>ETO-RD-DP 00528/2026</t>
        </is>
      </c>
      <c r="B6" s="98" t="inlineStr">
        <is>
          <t>5746834038</t>
        </is>
      </c>
      <c r="C6" s="99" t="inlineStr">
        <is>
          <t>112.5</t>
        </is>
      </c>
      <c r="D6" s="99" t="inlineStr">
        <is>
          <t>150</t>
        </is>
      </c>
      <c r="E6" s="99" t="inlineStr">
        <is>
          <t>112.5 → 150</t>
        </is>
      </c>
      <c r="F6" s="99" t="inlineStr">
        <is>
          <t>150 → 150</t>
        </is>
      </c>
      <c r="G6" s="69" t="inlineStr">
        <is>
          <t>SS: "trafo queimado 150 KVA" · OS: "trafo de 150 kva substituido"</t>
        </is>
      </c>
      <c r="H6" s="100" t="inlineStr">
        <is>
          <t>CONFERE (150)</t>
        </is>
      </c>
      <c r="I6" s="69" t="inlineStr">
        <is>
          <t>O formulário diz 112,5 retirado, mas a SS diz "trafo queimado 150 KVA", a OS diz "trafo de 150 kva substituído" e o FIS diz 150. Três fontes contra uma: o queimado era 150 e o campo do formulário está errado. Pertence ao estudo, como 150 e não como 112,5.</t>
        </is>
      </c>
    </row>
    <row r="7" ht="52" customHeight="1">
      <c r="A7" s="101" t="inlineStr">
        <is>
          <t>ETO-RD-DP 00501/2026</t>
        </is>
      </c>
      <c r="B7" s="101" t="inlineStr">
        <is>
          <t>5700577150</t>
        </is>
      </c>
      <c r="C7" s="102" t="inlineStr">
        <is>
          <t>150</t>
        </is>
      </c>
      <c r="D7" s="102" t="inlineStr">
        <is>
          <t>150</t>
        </is>
      </c>
      <c r="E7" s="102" t="inlineStr">
        <is>
          <t>75 → 150</t>
        </is>
      </c>
      <c r="F7" s="102" t="inlineStr">
        <is>
          <t>75 → 150</t>
        </is>
      </c>
      <c r="G7" s="88" t="inlineStr">
        <is>
          <t>SS: "trafo 5700577150 75KVA em campo, queimado" · OS: "trafo de 150kva ... retirado um de 75 kva"</t>
        </is>
      </c>
      <c r="H7" s="103" t="inlineStr">
        <is>
          <t>REVISAR</t>
        </is>
      </c>
      <c r="I7" s="88" t="inlineStr">
        <is>
          <t>Todas as fontes concordam: o que queimou era um 75 kVA ("retirado um de 75 kva mineral") e entrou um 150. A planilha diz 150 porque é o instalado. Se o critério é o equipamento que falhou, este é um 75.</t>
        </is>
      </c>
    </row>
    <row r="8" ht="34" customHeight="1">
      <c r="A8" s="98" t="inlineStr">
        <is>
          <t>ETO-RD-AR 01134/2026</t>
        </is>
      </c>
      <c r="B8" s="98" t="inlineStr">
        <is>
          <t>5710016016</t>
        </is>
      </c>
      <c r="C8" s="99" t="inlineStr">
        <is>
          <t>150</t>
        </is>
      </c>
      <c r="D8" s="99" t="inlineStr">
        <is>
          <t>150</t>
        </is>
      </c>
      <c r="E8" s="99" t="inlineStr">
        <is>
          <t>150 → 150</t>
        </is>
      </c>
      <c r="F8" s="99" t="inlineStr">
        <is>
          <t>150 → 150</t>
        </is>
      </c>
      <c r="G8" s="69" t="inlineStr">
        <is>
          <t>OS: bloco "TRAFO RETIRADO potência 150 / TRAFO INSTALADO potência 150"</t>
        </is>
      </c>
      <c r="H8" s="104" t="inlineStr">
        <is>
          <t>CONFERE</t>
        </is>
      </c>
      <c r="I8" s="69" t="inlineStr">
        <is>
          <t>Formulário, texto da OS e SS concordam. Onde o FIS difere é porque a extração é de julho e mostra o transformador instalado, não o que queimou.</t>
        </is>
      </c>
    </row>
    <row r="9" ht="52" customHeight="1">
      <c r="A9" s="105" t="inlineStr">
        <is>
          <t>DG-RD-PO 00400/2026</t>
        </is>
      </c>
      <c r="B9" s="105" t="inlineStr">
        <is>
          <t>5700177250</t>
        </is>
      </c>
      <c r="C9" s="106" t="inlineStr">
        <is>
          <t>112.5</t>
        </is>
      </c>
      <c r="D9" s="106" t="inlineStr">
        <is>
          <t>112.5</t>
        </is>
      </c>
      <c r="E9" s="106" t="inlineStr">
        <is>
          <t>45 → 45</t>
        </is>
      </c>
      <c r="F9" s="106" t="inlineStr">
        <is>
          <t>45 → —</t>
        </is>
      </c>
      <c r="G9" s="64" t="inlineStr">
        <is>
          <t>SS: "TR-5700102250 queimado, potência 45KVA" · OS sem potência</t>
        </is>
      </c>
      <c r="H9" s="107" t="inlineStr">
        <is>
          <t>NÃO PERTENCE</t>
        </is>
      </c>
      <c r="I9" s="64" t="inlineStr">
        <is>
          <t>A SS é do transformador 5700102250, de 45 kVA — o texto da SS diz isso e o formulário registra 45 retirado e 45 instalado. No FIS o 5700102250 é um 45 kVA no mesmo circuito. O Infotrafo vinculou o ativo errado (5700177250).</t>
        </is>
      </c>
    </row>
    <row r="10" ht="34" customHeight="1">
      <c r="A10" s="98" t="inlineStr">
        <is>
          <t>DOLP-RD-PA 00493/2026</t>
        </is>
      </c>
      <c r="B10" s="98" t="inlineStr">
        <is>
          <t>5731658122</t>
        </is>
      </c>
      <c r="C10" s="99" t="inlineStr">
        <is>
          <t>150</t>
        </is>
      </c>
      <c r="D10" s="99" t="inlineStr">
        <is>
          <t>150</t>
        </is>
      </c>
      <c r="E10" s="99" t="inlineStr">
        <is>
          <t>150 → 150</t>
        </is>
      </c>
      <c r="F10" s="99" t="inlineStr">
        <is>
          <t>150 → —</t>
        </is>
      </c>
      <c r="G10" s="69" t="inlineStr">
        <is>
          <t>SS e OS: "trafo de 150 kvar da rede de 34,5kv queimado"</t>
        </is>
      </c>
      <c r="H10" s="104" t="inlineStr">
        <is>
          <t>CONFERE</t>
        </is>
      </c>
      <c r="I10" s="69" t="inlineStr">
        <is>
          <t>Formulário, texto da OS e SS concordam. Onde o FIS difere é porque a extração é de julho e mostra o transformador instalado, não o que queimou.</t>
        </is>
      </c>
    </row>
    <row r="11" ht="34" customHeight="1">
      <c r="A11" s="95" t="inlineStr">
        <is>
          <t>DG-RD-PO 00331/2026</t>
        </is>
      </c>
      <c r="B11" s="95" t="inlineStr">
        <is>
          <t>5737010110</t>
        </is>
      </c>
      <c r="C11" s="96" t="inlineStr">
        <is>
          <t>112.5</t>
        </is>
      </c>
      <c r="D11" s="96" t="inlineStr">
        <is>
          <t>75</t>
        </is>
      </c>
      <c r="E11" s="96" t="inlineStr">
        <is>
          <t>112.5 → 75</t>
        </is>
      </c>
      <c r="F11" s="96" t="inlineStr">
        <is>
          <t>112,5 → —</t>
        </is>
      </c>
      <c r="G11" s="60" t="inlineStr">
        <is>
          <t>SS: "trafo 5737010110 e para-raio queimado, potência 112,5KVA" · OS sem potência</t>
        </is>
      </c>
      <c r="H11" s="108" t="inlineStr">
        <is>
          <t>CONFERE</t>
        </is>
      </c>
      <c r="I11" s="60" t="inlineStr">
        <is>
          <t>Formulário, texto da OS e SS concordam. Onde o FIS difere é porque a extração é de julho e mostra o transformador instalado, não o que queimou.</t>
        </is>
      </c>
    </row>
    <row r="12" ht="52" customHeight="1">
      <c r="A12" s="98" t="inlineStr">
        <is>
          <t>ETO-RD-GR 00405/2026</t>
        </is>
      </c>
      <c r="B12" s="98" t="inlineStr">
        <is>
          <t>5700001112</t>
        </is>
      </c>
      <c r="C12" s="99" t="inlineStr">
        <is>
          <t>112.5</t>
        </is>
      </c>
      <c r="D12" s="99" t="inlineStr">
        <is>
          <t>150</t>
        </is>
      </c>
      <c r="E12" s="99" t="inlineStr">
        <is>
          <t>112.5 → 112.5</t>
        </is>
      </c>
      <c r="F12" s="99" t="inlineStr">
        <is>
          <t>112,5 → 112,5</t>
        </is>
      </c>
      <c r="G12" s="69" t="inlineStr">
        <is>
          <t>OS: bloco "TRAFO RETIRADO 112,5 / TRAFO INSTALADO 112,5"</t>
        </is>
      </c>
      <c r="H12" s="100" t="inlineStr">
        <is>
          <t>CONFERE (112,5)</t>
        </is>
      </c>
      <c r="I12" s="69" t="inlineStr">
        <is>
          <t>O FIS diz 150, mas o formulário e o bloco da OS dizem 112,5 retirado e 112,5 instalado. Duas fontes de campo contra o cadastro: é 112,5. O FIS está errado para este ativo.</t>
        </is>
      </c>
    </row>
    <row r="13" ht="34" customHeight="1">
      <c r="A13" s="95" t="inlineStr">
        <is>
          <t>ENC-RD-PS 00435/2026</t>
        </is>
      </c>
      <c r="B13" s="95" t="inlineStr">
        <is>
          <t>5727671110</t>
        </is>
      </c>
      <c r="C13" s="96" t="inlineStr">
        <is>
          <t>112.5</t>
        </is>
      </c>
      <c r="D13" s="96" t="inlineStr">
        <is>
          <t>75</t>
        </is>
      </c>
      <c r="E13" s="96" t="inlineStr">
        <is>
          <t>112.5 → 75</t>
        </is>
      </c>
      <c r="F13" s="96" t="inlineStr">
        <is>
          <t>112,5 → 75</t>
        </is>
      </c>
      <c r="G13" s="60" t="inlineStr">
        <is>
          <t>OS: bloco "TRAFO RETIRADO 112,5 / TRAFO INSTALADO 75"</t>
        </is>
      </c>
      <c r="H13" s="108" t="inlineStr">
        <is>
          <t>CONFERE</t>
        </is>
      </c>
      <c r="I13" s="60" t="inlineStr">
        <is>
          <t>Formulário, texto da OS e SS concordam. Onde o FIS difere é porque a extração é de julho e mostra o transformador instalado, não o que queimou.</t>
        </is>
      </c>
    </row>
    <row r="14" ht="34" customHeight="1">
      <c r="A14" s="98" t="inlineStr">
        <is>
          <t>ETO-RD-GU 00384/2026</t>
        </is>
      </c>
      <c r="B14" s="98" t="inlineStr">
        <is>
          <t>5700010186</t>
        </is>
      </c>
      <c r="C14" s="99" t="inlineStr">
        <is>
          <t>112.5</t>
        </is>
      </c>
      <c r="D14" s="99" t="inlineStr">
        <is>
          <t>112.5</t>
        </is>
      </c>
      <c r="E14" s="99" t="inlineStr">
        <is>
          <t>112.5 → 112.5</t>
        </is>
      </c>
      <c r="F14" s="99" t="inlineStr">
        <is>
          <t>112,5 → 112,5</t>
        </is>
      </c>
      <c r="G14" s="69" t="inlineStr">
        <is>
          <t>OS: "TRANSFORMADOR INSTALADO: 112,5KV · RETIRADO: 112,5KV"</t>
        </is>
      </c>
      <c r="H14" s="104" t="inlineStr">
        <is>
          <t>CONFERE</t>
        </is>
      </c>
      <c r="I14" s="69" t="inlineStr">
        <is>
          <t>Formulário, texto da OS e SS concordam. Onde o FIS difere é porque a extração é de julho e mostra o transformador instalado, não o que queimou.</t>
        </is>
      </c>
    </row>
    <row r="15" ht="34" customHeight="1">
      <c r="A15" s="95" t="inlineStr">
        <is>
          <t>ETO-RD-PA 00187/2026</t>
        </is>
      </c>
      <c r="B15" s="95" t="inlineStr">
        <is>
          <t>5725809122</t>
        </is>
      </c>
      <c r="C15" s="96" t="inlineStr">
        <is>
          <t>112.5</t>
        </is>
      </c>
      <c r="D15" s="96" t="inlineStr">
        <is>
          <t>150</t>
        </is>
      </c>
      <c r="E15" s="96" t="inlineStr">
        <is>
          <t>112.5 → 150</t>
        </is>
      </c>
      <c r="F15" s="96" t="inlineStr">
        <is>
          <t>112,5 → 150</t>
        </is>
      </c>
      <c r="G15" s="60" t="inlineStr">
        <is>
          <t>OS: bloco "TRAFO RETIRADO 112,5 / TRAFO INSTALADO 150"</t>
        </is>
      </c>
      <c r="H15" s="108" t="inlineStr">
        <is>
          <t>CONFERE</t>
        </is>
      </c>
      <c r="I15" s="60" t="inlineStr">
        <is>
          <t>Formulário, texto da OS e SS concordam. Onde o FIS difere é porque a extração é de julho e mostra o transformador instalado, não o que queimou.</t>
        </is>
      </c>
    </row>
    <row r="16" ht="52" customHeight="1">
      <c r="A16" s="105" t="inlineStr">
        <is>
          <t>ETO-RD-GU 00202/2026</t>
        </is>
      </c>
      <c r="B16" s="105" t="inlineStr">
        <is>
          <t>5710170052</t>
        </is>
      </c>
      <c r="C16" s="106" t="inlineStr">
        <is>
          <t>112.5</t>
        </is>
      </c>
      <c r="D16" s="106" t="inlineStr">
        <is>
          <t>75</t>
        </is>
      </c>
      <c r="E16" s="106" t="inlineStr">
        <is>
          <t>75 → 75</t>
        </is>
      </c>
      <c r="F16" s="106" t="inlineStr">
        <is>
          <t>75 → 75</t>
        </is>
      </c>
      <c r="G16" s="64" t="inlineStr">
        <is>
          <t>OS: "TRANSFORMADOR INSTALADO: 75 KVA · RETIRADO: 75 KVA"</t>
        </is>
      </c>
      <c r="H16" s="107" t="inlineStr">
        <is>
          <t>NÃO PERTENCE</t>
        </is>
      </c>
      <c r="I16" s="64" t="inlineStr">
        <is>
          <t>Três fontes dizem 75 kVA: o formulário (75 retirado, 75 instalado), o texto da OS ("INSTALADO: 75 KVA · RETIRADO: 75 KVA") e o FIS. Só o Infotrafo diz 112,5, e está desatualizado.</t>
        </is>
      </c>
    </row>
    <row r="17" ht="34" customHeight="1">
      <c r="A17" s="95" t="inlineStr">
        <is>
          <t>DG-RD-PO 00085/2026</t>
        </is>
      </c>
      <c r="B17" s="95" t="inlineStr">
        <is>
          <t>5758640152</t>
        </is>
      </c>
      <c r="C17" s="96" t="inlineStr">
        <is>
          <t>112.5</t>
        </is>
      </c>
      <c r="D17" s="96" t="inlineStr">
        <is>
          <t>150</t>
        </is>
      </c>
      <c r="E17" s="96" t="inlineStr">
        <is>
          <t>112.5 → 150</t>
        </is>
      </c>
      <c r="F17" s="96" t="inlineStr">
        <is>
          <t>112,5 → —</t>
        </is>
      </c>
      <c r="G17" s="60" t="inlineStr">
        <is>
          <t>SS: "TR 5758640152 112.5KVA/34.5KV" · OS sem potência</t>
        </is>
      </c>
      <c r="H17" s="108" t="inlineStr">
        <is>
          <t>CONFERE</t>
        </is>
      </c>
      <c r="I17" s="60" t="inlineStr">
        <is>
          <t>Formulário, texto da OS e SS concordam. Onde o FIS difere é porque a extração é de julho e mostra o transformador instalado, não o que queimou.</t>
        </is>
      </c>
    </row>
    <row r="18" ht="34" customHeight="1">
      <c r="A18" s="98" t="inlineStr">
        <is>
          <t>ETO-RD-GU 00061/2026</t>
        </is>
      </c>
      <c r="B18" s="98" t="inlineStr">
        <is>
          <t>5744049021</t>
        </is>
      </c>
      <c r="C18" s="99" t="inlineStr">
        <is>
          <t>150</t>
        </is>
      </c>
      <c r="D18" s="99" t="inlineStr">
        <is>
          <t>150</t>
        </is>
      </c>
      <c r="E18" s="99" t="inlineStr">
        <is>
          <t>150 → 150</t>
        </is>
      </c>
      <c r="F18" s="99" t="inlineStr">
        <is>
          <t>150 → 150</t>
        </is>
      </c>
      <c r="G18" s="69" t="inlineStr">
        <is>
          <t>OS: "TRANSFORMADOR INSTALADO: 150 KVA · RETIRADO: 150 KVA"</t>
        </is>
      </c>
      <c r="H18" s="104" t="inlineStr">
        <is>
          <t>CONFERE</t>
        </is>
      </c>
      <c r="I18" s="69" t="inlineStr">
        <is>
          <t>Formulário, texto da OS e SS concordam. Onde o FIS difere é porque a extração é de julho e mostra o transformador instalado, não o que queimou.</t>
        </is>
      </c>
    </row>
    <row r="19" ht="34" customHeight="1">
      <c r="A19" s="95" t="inlineStr">
        <is>
          <t>ETO-RD-GR 00052/2026</t>
        </is>
      </c>
      <c r="B19" s="95" t="inlineStr">
        <is>
          <t>5741943048</t>
        </is>
      </c>
      <c r="C19" s="96" t="inlineStr">
        <is>
          <t>112.5</t>
        </is>
      </c>
      <c r="D19" s="96" t="inlineStr">
        <is>
          <t>—</t>
        </is>
      </c>
      <c r="E19" s="96" t="inlineStr">
        <is>
          <t>112.5 → 150</t>
        </is>
      </c>
      <c r="F19" s="96" t="inlineStr">
        <is>
          <t>112,5 → 150</t>
        </is>
      </c>
      <c r="G19" s="60" t="inlineStr">
        <is>
          <t>OS: bloco "TRAFO RETIRADO 112,5 / TRAFO INSTALADO 150"</t>
        </is>
      </c>
      <c r="H19" s="108" t="inlineStr">
        <is>
          <t>CONFERE</t>
        </is>
      </c>
      <c r="I19" s="60" t="inlineStr">
        <is>
          <t>Formulário, texto da OS e SS concordam. Onde o FIS difere é porque a extração é de julho e mostra o transformador instalado, não o que queimou.</t>
        </is>
      </c>
    </row>
    <row r="20" ht="34" customHeight="1">
      <c r="A20" s="98" t="inlineStr">
        <is>
          <t>ETO-RD-DP 00011/2026</t>
        </is>
      </c>
      <c r="B20" s="98" t="inlineStr">
        <is>
          <t>5310024091</t>
        </is>
      </c>
      <c r="C20" s="99" t="inlineStr">
        <is>
          <t>150</t>
        </is>
      </c>
      <c r="D20" s="99" t="inlineStr">
        <is>
          <t>75</t>
        </is>
      </c>
      <c r="E20" s="99" t="inlineStr">
        <is>
          <t>150 → 75</t>
        </is>
      </c>
      <c r="F20" s="99" t="inlineStr">
        <is>
          <t>150 → 75</t>
        </is>
      </c>
      <c r="G20" s="69" t="inlineStr">
        <is>
          <t>SS: "trafo de 150KVA" · OS: "INSTALADO: 75 KVA · RETIRADO: 150 KVA"</t>
        </is>
      </c>
      <c r="H20" s="104" t="inlineStr">
        <is>
          <t>CONFERE</t>
        </is>
      </c>
      <c r="I20" s="69" t="inlineStr">
        <is>
          <t>Formulário, texto da OS e SS concordam. Onde o FIS difere é porque a extração é de julho e mostra o transformador instalado, não o que queimou.</t>
        </is>
      </c>
    </row>
    <row r="22">
      <c r="A22" s="72" t="inlineStr">
        <is>
          <t>Resumo</t>
        </is>
      </c>
    </row>
    <row r="23" ht="30" customHeight="1">
      <c r="A23" s="74" t="inlineStr">
        <is>
          <t>2 não pertencem</t>
        </is>
      </c>
      <c r="C23" s="109" t="inlineStr">
        <is>
          <t>DG-RD-PO 00400/2026 (queimou um 45) e ETO-RD-GU 00202/2026 (queimou um 75) — texto, formulário e FIS concordam</t>
        </is>
      </c>
    </row>
    <row r="24" ht="16" customHeight="1">
      <c r="A24" s="5" t="inlineStr">
        <is>
          <t>1 a revisar</t>
        </is>
      </c>
      <c r="C24" s="109" t="inlineStr">
        <is>
          <t>ETO-RD-DP 00501/2026 — queimou um 75, o 150 é o instalado; depende do critério</t>
        </is>
      </c>
    </row>
    <row r="25" ht="30" customHeight="1">
      <c r="A25" s="73" t="inlineStr">
        <is>
          <t>2 desempatadas pelo texto</t>
        </is>
      </c>
      <c r="C25" s="109" t="inlineStr">
        <is>
          <t>ETO-RD-DP 00528/2026 é 150, não 112,5 (o formulário errou). ETO-RD-GR 00405/2026 é 112,5 (o FIS errou). As duas pertencem.</t>
        </is>
      </c>
    </row>
    <row r="26" ht="16" customHeight="1">
      <c r="A26" s="73" t="inlineStr">
        <is>
          <t>10 conferem sem ressalva</t>
        </is>
      </c>
      <c r="C26" s="109" t="inlineStr">
        <is>
          <t>as quatro fontes concordam</t>
        </is>
      </c>
    </row>
    <row r="27" ht="16" customHeight="1">
      <c r="A27" s="3" t="inlineStr">
        <is>
          <t>1 sem dado</t>
        </is>
      </c>
      <c r="C27" s="109" t="inlineStr">
        <is>
          <t>ETO-RD-GR 00915/2026</t>
        </is>
      </c>
    </row>
    <row r="28" ht="30" customHeight="1">
      <c r="A28" s="3" t="inlineStr">
        <is>
          <t>Padrão de escrita</t>
        </is>
      </c>
      <c r="C28" s="109" t="inlineStr">
        <is>
          <t>Nove equipes usam o bloco "ESPECIFICAÇÕES DO TRANSFORMADOR" na OS, com potência retirada e instalada. As de DG-RD-PO e ETO-RD-DP escrevem só "substituição de trafo queimado" — nessas, a potência só existe no texto da SS e no formulário.</t>
        </is>
      </c>
    </row>
  </sheetData>
  <mergeCells count="6">
    <mergeCell ref="C28:I28"/>
    <mergeCell ref="C23:I23"/>
    <mergeCell ref="C26:I26"/>
    <mergeCell ref="C24:I24"/>
    <mergeCell ref="C25:I25"/>
    <mergeCell ref="C27:I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0" customWidth="1" min="2" max="2"/>
    <col width="11" customWidth="1" min="3" max="3"/>
    <col width="11" customWidth="1" min="4" max="4"/>
    <col width="9" customWidth="1" min="5" max="5"/>
    <col width="10" customWidth="1" min="6" max="6"/>
    <col width="12" customWidth="1" min="7" max="7"/>
    <col width="9" customWidth="1" min="8" max="8"/>
    <col width="12" customWidth="1" min="9" max="9"/>
    <col width="12" customWidth="1" min="10" max="10"/>
    <col width="9" customWidth="1" min="11" max="11"/>
    <col width="12" customWidth="1" min="12" max="12"/>
    <col width="12" customWidth="1" min="13" max="13"/>
    <col width="9" customWidth="1" min="14" max="14"/>
    <col width="9" customWidth="1" min="15" max="15"/>
    <col width="10" customWidth="1" min="16" max="16"/>
    <col width="6" customWidth="1" min="17" max="17"/>
  </cols>
  <sheetData>
    <row r="1">
      <c r="A1" s="1" t="inlineStr">
        <is>
          <t>O que o executante escreveu na OS × o que preencheu no formulário</t>
        </is>
      </c>
    </row>
    <row r="2">
      <c r="A2" s="2" t="inlineStr">
        <is>
          <t>Só as cinco OS com o bloco completo "TRAFO RETIRADO / TRAFO INSTALADO" permitem essa conferência. TAP, tensão e impedância existem só na OS.</t>
        </is>
      </c>
    </row>
    <row r="4" ht="30" customHeight="1">
      <c r="A4" s="110" t="inlineStr">
        <is>
          <t>SS</t>
        </is>
      </c>
      <c r="B4" s="110" t="inlineStr">
        <is>
          <t>Lado</t>
        </is>
      </c>
      <c r="C4" s="110" t="inlineStr">
        <is>
          <t>Série (OS)</t>
        </is>
      </c>
      <c r="D4" s="110" t="inlineStr">
        <is>
          <t>Série (form.)</t>
        </is>
      </c>
      <c r="E4" s="110" t="inlineStr">
        <is>
          <t>✓</t>
        </is>
      </c>
      <c r="F4" s="110" t="inlineStr">
        <is>
          <t>CITD (OS)</t>
        </is>
      </c>
      <c r="G4" s="110" t="inlineStr">
        <is>
          <t>Tombamento (form.)</t>
        </is>
      </c>
      <c r="H4" s="110" t="inlineStr">
        <is>
          <t>✓</t>
        </is>
      </c>
      <c r="I4" s="110" t="inlineStr">
        <is>
          <t>Marca (OS)</t>
        </is>
      </c>
      <c r="J4" s="110" t="inlineStr">
        <is>
          <t>Marca (form.)</t>
        </is>
      </c>
      <c r="K4" s="110" t="inlineStr">
        <is>
          <t>✓</t>
        </is>
      </c>
      <c r="L4" s="110" t="inlineStr">
        <is>
          <t>Fabricação (OS)</t>
        </is>
      </c>
      <c r="M4" s="110" t="inlineStr">
        <is>
          <t>Fabricação (form.)</t>
        </is>
      </c>
      <c r="N4" s="110" t="inlineStr">
        <is>
          <t>✓</t>
        </is>
      </c>
      <c r="O4" s="110" t="inlineStr">
        <is>
          <t>Tensão</t>
        </is>
      </c>
      <c r="P4" s="110" t="inlineStr">
        <is>
          <t>Impedância</t>
        </is>
      </c>
      <c r="Q4" s="110" t="inlineStr">
        <is>
          <t>TAP</t>
        </is>
      </c>
    </row>
    <row r="5">
      <c r="A5" s="19" t="inlineStr">
        <is>
          <t>ETO-RD-AR 01134/2026</t>
        </is>
      </c>
      <c r="B5" s="19" t="inlineStr">
        <is>
          <t>retirado</t>
        </is>
      </c>
      <c r="C5" s="20" t="inlineStr">
        <is>
          <t>1548911</t>
        </is>
      </c>
      <c r="D5" s="20" t="inlineStr">
        <is>
          <t>1548911</t>
        </is>
      </c>
      <c r="E5" s="27" t="inlineStr">
        <is>
          <t>confere</t>
        </is>
      </c>
      <c r="F5" s="20" t="inlineStr">
        <is>
          <t>141304</t>
        </is>
      </c>
      <c r="G5" s="20" t="inlineStr">
        <is>
          <t>141304</t>
        </is>
      </c>
      <c r="H5" s="27" t="inlineStr">
        <is>
          <t>confere</t>
        </is>
      </c>
      <c r="I5" s="20" t="inlineStr">
        <is>
          <t>ROMAGNOLE</t>
        </is>
      </c>
      <c r="J5" s="20" t="inlineStr">
        <is>
          <t>ROMAGNOLE</t>
        </is>
      </c>
      <c r="K5" s="27" t="inlineStr">
        <is>
          <t>confere</t>
        </is>
      </c>
      <c r="L5" s="20" t="inlineStr">
        <is>
          <t>07/2024</t>
        </is>
      </c>
      <c r="M5" s="20" t="inlineStr">
        <is>
          <t>22/07/2024</t>
        </is>
      </c>
      <c r="N5" s="27" t="inlineStr">
        <is>
          <t>confere</t>
        </is>
      </c>
      <c r="O5" s="20" t="inlineStr">
        <is>
          <t>34.5 KV</t>
        </is>
      </c>
      <c r="P5" s="20" t="inlineStr">
        <is>
          <t>4,03</t>
        </is>
      </c>
      <c r="Q5" s="20" t="inlineStr">
        <is>
          <t>04</t>
        </is>
      </c>
    </row>
    <row r="6">
      <c r="A6" s="111" t="inlineStr">
        <is>
          <t>ETO-RD-AR 01134/2026</t>
        </is>
      </c>
      <c r="B6" s="111" t="inlineStr">
        <is>
          <t>instalado</t>
        </is>
      </c>
      <c r="C6" s="112" t="inlineStr">
        <is>
          <t>1613783</t>
        </is>
      </c>
      <c r="D6" s="112" t="inlineStr">
        <is>
          <t>1613783</t>
        </is>
      </c>
      <c r="E6" s="113" t="inlineStr">
        <is>
          <t>confere</t>
        </is>
      </c>
      <c r="F6" s="112" t="inlineStr">
        <is>
          <t>146016</t>
        </is>
      </c>
      <c r="G6" s="112" t="inlineStr">
        <is>
          <t>146016</t>
        </is>
      </c>
      <c r="H6" s="113" t="inlineStr">
        <is>
          <t>confere</t>
        </is>
      </c>
      <c r="I6" s="112" t="inlineStr">
        <is>
          <t>ROMAGNOLE</t>
        </is>
      </c>
      <c r="J6" s="112" t="inlineStr">
        <is>
          <t>ROMAGNOLE</t>
        </is>
      </c>
      <c r="K6" s="113" t="inlineStr">
        <is>
          <t>confere</t>
        </is>
      </c>
      <c r="L6" s="112" t="inlineStr">
        <is>
          <t>03/2025</t>
        </is>
      </c>
      <c r="M6" s="112" t="inlineStr">
        <is>
          <t>19/03/2025</t>
        </is>
      </c>
      <c r="N6" s="113" t="inlineStr">
        <is>
          <t>confere</t>
        </is>
      </c>
      <c r="O6" s="112" t="inlineStr">
        <is>
          <t>34.5 KV</t>
        </is>
      </c>
      <c r="P6" s="112" t="inlineStr">
        <is>
          <t>4,14</t>
        </is>
      </c>
      <c r="Q6" s="112" t="inlineStr">
        <is>
          <t>04</t>
        </is>
      </c>
    </row>
    <row r="7">
      <c r="A7" s="19" t="inlineStr">
        <is>
          <t>ETO-RD-GR 00405/2026</t>
        </is>
      </c>
      <c r="B7" s="19" t="inlineStr">
        <is>
          <t>retirado</t>
        </is>
      </c>
      <c r="C7" s="20" t="inlineStr">
        <is>
          <t>435126</t>
        </is>
      </c>
      <c r="D7" s="20" t="inlineStr">
        <is>
          <t>435126</t>
        </is>
      </c>
      <c r="E7" s="27" t="inlineStr">
        <is>
          <t>confere</t>
        </is>
      </c>
      <c r="F7" s="20" t="inlineStr">
        <is>
          <t>0610555</t>
        </is>
      </c>
      <c r="G7" s="20" t="inlineStr">
        <is>
          <t>CITD06105557</t>
        </is>
      </c>
      <c r="H7" s="114" t="inlineStr">
        <is>
          <t>DIVERGE</t>
        </is>
      </c>
      <c r="I7" s="20" t="inlineStr">
        <is>
          <t>TRAEL</t>
        </is>
      </c>
      <c r="J7" s="20" t="inlineStr">
        <is>
          <t>TRAEL</t>
        </is>
      </c>
      <c r="K7" s="27" t="inlineStr">
        <is>
          <t>confere</t>
        </is>
      </c>
      <c r="L7" s="20" t="inlineStr">
        <is>
          <t>07/2017</t>
        </is>
      </c>
      <c r="M7" s="20" t="inlineStr">
        <is>
          <t>01/07/2017</t>
        </is>
      </c>
      <c r="N7" s="27" t="inlineStr">
        <is>
          <t>confere</t>
        </is>
      </c>
      <c r="O7" s="20" t="inlineStr">
        <is>
          <t>34.5KV</t>
        </is>
      </c>
      <c r="P7" s="20" t="inlineStr">
        <is>
          <t>4.02</t>
        </is>
      </c>
      <c r="Q7" s="20" t="inlineStr">
        <is>
          <t>04</t>
        </is>
      </c>
    </row>
    <row r="8">
      <c r="A8" s="111" t="inlineStr">
        <is>
          <t>ETO-RD-GR 00405/2026</t>
        </is>
      </c>
      <c r="B8" s="111" t="inlineStr">
        <is>
          <t>instalado</t>
        </is>
      </c>
      <c r="C8" s="112" t="inlineStr">
        <is>
          <t>489704</t>
        </is>
      </c>
      <c r="D8" s="112" t="inlineStr">
        <is>
          <t>489704</t>
        </is>
      </c>
      <c r="E8" s="113" t="inlineStr">
        <is>
          <t>confere</t>
        </is>
      </c>
      <c r="F8" s="112" t="inlineStr">
        <is>
          <t>135138</t>
        </is>
      </c>
      <c r="G8" s="112" t="inlineStr">
        <is>
          <t>135138</t>
        </is>
      </c>
      <c r="H8" s="113" t="inlineStr">
        <is>
          <t>confere</t>
        </is>
      </c>
      <c r="I8" s="112" t="inlineStr">
        <is>
          <t>ITAIPU</t>
        </is>
      </c>
      <c r="J8" s="112" t="inlineStr">
        <is>
          <t>ITAIPU</t>
        </is>
      </c>
      <c r="K8" s="113" t="inlineStr">
        <is>
          <t>confere</t>
        </is>
      </c>
      <c r="L8" s="112" t="inlineStr">
        <is>
          <t>03/2023</t>
        </is>
      </c>
      <c r="M8" s="112" t="inlineStr">
        <is>
          <t>01/03/2023</t>
        </is>
      </c>
      <c r="N8" s="113" t="inlineStr">
        <is>
          <t>confere</t>
        </is>
      </c>
      <c r="O8" s="112" t="inlineStr">
        <is>
          <t>34.5KV</t>
        </is>
      </c>
      <c r="P8" s="112" t="inlineStr">
        <is>
          <t>3.38</t>
        </is>
      </c>
      <c r="Q8" s="112" t="inlineStr">
        <is>
          <t>02</t>
        </is>
      </c>
    </row>
    <row r="9">
      <c r="A9" s="19" t="inlineStr">
        <is>
          <t>ENC-RD-PS 00435/2026</t>
        </is>
      </c>
      <c r="B9" s="19" t="inlineStr">
        <is>
          <t>retirado</t>
        </is>
      </c>
      <c r="C9" s="20" t="inlineStr">
        <is>
          <t>1498016</t>
        </is>
      </c>
      <c r="D9" s="20" t="inlineStr">
        <is>
          <t>1498016</t>
        </is>
      </c>
      <c r="E9" s="27" t="inlineStr">
        <is>
          <t>confere</t>
        </is>
      </c>
      <c r="F9" s="20" t="inlineStr">
        <is>
          <t>134485</t>
        </is>
      </c>
      <c r="G9" s="20" t="inlineStr">
        <is>
          <t>134485</t>
        </is>
      </c>
      <c r="H9" s="27" t="inlineStr">
        <is>
          <t>confere</t>
        </is>
      </c>
      <c r="I9" s="20" t="inlineStr">
        <is>
          <t>ITB</t>
        </is>
      </c>
      <c r="J9" s="20" t="inlineStr">
        <is>
          <t>ITB</t>
        </is>
      </c>
      <c r="K9" s="27" t="inlineStr">
        <is>
          <t>confere</t>
        </is>
      </c>
      <c r="L9" s="20" t="inlineStr">
        <is>
          <t>12/2022</t>
        </is>
      </c>
      <c r="M9" s="20" t="inlineStr">
        <is>
          <t>01/12/2022</t>
        </is>
      </c>
      <c r="N9" s="27" t="inlineStr">
        <is>
          <t>confere</t>
        </is>
      </c>
      <c r="O9" s="20" t="inlineStr">
        <is>
          <t>34.5KV</t>
        </is>
      </c>
      <c r="P9" s="20" t="inlineStr">
        <is>
          <t>3.85</t>
        </is>
      </c>
      <c r="Q9" s="20" t="inlineStr">
        <is>
          <t>02</t>
        </is>
      </c>
    </row>
    <row r="10">
      <c r="A10" s="111" t="inlineStr">
        <is>
          <t>ENC-RD-PS 00435/2026</t>
        </is>
      </c>
      <c r="B10" s="111" t="inlineStr">
        <is>
          <t>instalado</t>
        </is>
      </c>
      <c r="C10" s="112" t="inlineStr">
        <is>
          <t>602397</t>
        </is>
      </c>
      <c r="D10" s="112" t="inlineStr">
        <is>
          <t>602397</t>
        </is>
      </c>
      <c r="E10" s="113" t="inlineStr">
        <is>
          <t>confere</t>
        </is>
      </c>
      <c r="F10" s="112" t="inlineStr">
        <is>
          <t>149931</t>
        </is>
      </c>
      <c r="G10" s="112" t="inlineStr">
        <is>
          <t>149931</t>
        </is>
      </c>
      <c r="H10" s="113" t="inlineStr">
        <is>
          <t>confere</t>
        </is>
      </c>
      <c r="I10" s="112" t="inlineStr">
        <is>
          <t>ITAIPU</t>
        </is>
      </c>
      <c r="J10" s="112" t="inlineStr">
        <is>
          <t>ITAIPU</t>
        </is>
      </c>
      <c r="K10" s="113" t="inlineStr">
        <is>
          <t>confere</t>
        </is>
      </c>
      <c r="L10" s="112" t="inlineStr">
        <is>
          <t>01/2026</t>
        </is>
      </c>
      <c r="M10" s="112" t="inlineStr">
        <is>
          <t>01/01/2026</t>
        </is>
      </c>
      <c r="N10" s="113" t="inlineStr">
        <is>
          <t>confere</t>
        </is>
      </c>
      <c r="O10" s="112" t="inlineStr">
        <is>
          <t>34.5KV</t>
        </is>
      </c>
      <c r="P10" s="112" t="inlineStr">
        <is>
          <t>3.82</t>
        </is>
      </c>
      <c r="Q10" s="112" t="inlineStr">
        <is>
          <t>02</t>
        </is>
      </c>
    </row>
    <row r="11">
      <c r="A11" s="19" t="inlineStr">
        <is>
          <t>ETO-RD-PA 00187/2026</t>
        </is>
      </c>
      <c r="B11" s="19" t="inlineStr">
        <is>
          <t>retirado</t>
        </is>
      </c>
      <c r="C11" s="20" t="inlineStr">
        <is>
          <t>396360</t>
        </is>
      </c>
      <c r="D11" s="20" t="inlineStr">
        <is>
          <t>396360</t>
        </is>
      </c>
      <c r="E11" s="27" t="inlineStr">
        <is>
          <t>confere</t>
        </is>
      </c>
      <c r="F11" s="20" t="inlineStr">
        <is>
          <t>104055</t>
        </is>
      </c>
      <c r="G11" s="20" t="inlineStr">
        <is>
          <t>104055</t>
        </is>
      </c>
      <c r="H11" s="27" t="inlineStr">
        <is>
          <t>confere</t>
        </is>
      </c>
      <c r="I11" s="20" t="inlineStr">
        <is>
          <t>TRAEL</t>
        </is>
      </c>
      <c r="J11" s="20" t="inlineStr">
        <is>
          <t>TRAEL</t>
        </is>
      </c>
      <c r="K11" s="27" t="inlineStr">
        <is>
          <t>confere</t>
        </is>
      </c>
      <c r="L11" s="20" t="inlineStr">
        <is>
          <t>08/2016</t>
        </is>
      </c>
      <c r="M11" s="20" t="inlineStr">
        <is>
          <t>01/08/2016</t>
        </is>
      </c>
      <c r="N11" s="27" t="inlineStr">
        <is>
          <t>confere</t>
        </is>
      </c>
      <c r="O11" s="20" t="inlineStr">
        <is>
          <t>13.8KV</t>
        </is>
      </c>
      <c r="P11" s="20" t="inlineStr">
        <is>
          <t>3.5</t>
        </is>
      </c>
      <c r="Q11" s="20" t="inlineStr">
        <is>
          <t>01</t>
        </is>
      </c>
    </row>
    <row r="12">
      <c r="A12" s="111" t="inlineStr">
        <is>
          <t>ETO-RD-PA 00187/2026</t>
        </is>
      </c>
      <c r="B12" s="111" t="inlineStr">
        <is>
          <t>instalado</t>
        </is>
      </c>
      <c r="C12" s="112" t="inlineStr">
        <is>
          <t>1575636</t>
        </is>
      </c>
      <c r="D12" s="112" t="inlineStr">
        <is>
          <t>1575636</t>
        </is>
      </c>
      <c r="E12" s="113" t="inlineStr">
        <is>
          <t>confere</t>
        </is>
      </c>
      <c r="F12" s="112" t="inlineStr">
        <is>
          <t>143848</t>
        </is>
      </c>
      <c r="G12" s="112" t="inlineStr">
        <is>
          <t>143848</t>
        </is>
      </c>
      <c r="H12" s="113" t="inlineStr">
        <is>
          <t>confere</t>
        </is>
      </c>
      <c r="I12" s="112" t="inlineStr">
        <is>
          <t>ROMAGNOLE</t>
        </is>
      </c>
      <c r="J12" s="112" t="inlineStr">
        <is>
          <t>ROMAGNOLE</t>
        </is>
      </c>
      <c r="K12" s="113" t="inlineStr">
        <is>
          <t>confere</t>
        </is>
      </c>
      <c r="L12" s="112" t="inlineStr"/>
      <c r="M12" s="112" t="inlineStr">
        <is>
          <t>01/09/2024</t>
        </is>
      </c>
      <c r="N12" s="115" t="inlineStr">
        <is>
          <t>só no form</t>
        </is>
      </c>
      <c r="O12" s="112" t="inlineStr">
        <is>
          <t>13.8KV</t>
        </is>
      </c>
      <c r="P12" s="112" t="inlineStr">
        <is>
          <t>3.65</t>
        </is>
      </c>
      <c r="Q12" s="112" t="inlineStr">
        <is>
          <t>01</t>
        </is>
      </c>
    </row>
    <row r="13">
      <c r="A13" s="19" t="inlineStr">
        <is>
          <t>ETO-RD-GR 00052/2026</t>
        </is>
      </c>
      <c r="B13" s="19" t="inlineStr">
        <is>
          <t>retirado</t>
        </is>
      </c>
      <c r="C13" s="20" t="inlineStr">
        <is>
          <t>1510147</t>
        </is>
      </c>
      <c r="D13" s="20" t="inlineStr">
        <is>
          <t>1510147</t>
        </is>
      </c>
      <c r="E13" s="27" t="inlineStr">
        <is>
          <t>confere</t>
        </is>
      </c>
      <c r="F13" s="20" t="inlineStr">
        <is>
          <t>138563</t>
        </is>
      </c>
      <c r="G13" s="20" t="inlineStr">
        <is>
          <t>138563</t>
        </is>
      </c>
      <c r="H13" s="27" t="inlineStr">
        <is>
          <t>confere</t>
        </is>
      </c>
      <c r="I13" s="20" t="inlineStr">
        <is>
          <t>ROMAGNOLE</t>
        </is>
      </c>
      <c r="J13" s="20" t="inlineStr">
        <is>
          <t>ROMAGNOLE</t>
        </is>
      </c>
      <c r="K13" s="27" t="inlineStr">
        <is>
          <t>confere</t>
        </is>
      </c>
      <c r="L13" s="20" t="inlineStr">
        <is>
          <t>03/2024</t>
        </is>
      </c>
      <c r="M13" s="20" t="inlineStr">
        <is>
          <t>01/03/2024</t>
        </is>
      </c>
      <c r="N13" s="27" t="inlineStr">
        <is>
          <t>confere</t>
        </is>
      </c>
      <c r="O13" s="20" t="inlineStr">
        <is>
          <t>34,5KV</t>
        </is>
      </c>
      <c r="P13" s="20" t="inlineStr">
        <is>
          <t>3,87</t>
        </is>
      </c>
      <c r="Q13" s="20" t="inlineStr">
        <is>
          <t>02</t>
        </is>
      </c>
    </row>
    <row r="14">
      <c r="A14" s="111" t="inlineStr">
        <is>
          <t>ETO-RD-GR 00052/2026</t>
        </is>
      </c>
      <c r="B14" s="111" t="inlineStr">
        <is>
          <t>instalado</t>
        </is>
      </c>
      <c r="C14" s="112" t="inlineStr">
        <is>
          <t>489685</t>
        </is>
      </c>
      <c r="D14" s="112" t="inlineStr">
        <is>
          <t>489685</t>
        </is>
      </c>
      <c r="E14" s="113" t="inlineStr">
        <is>
          <t>confere</t>
        </is>
      </c>
      <c r="F14" s="112" t="inlineStr">
        <is>
          <t>135119</t>
        </is>
      </c>
      <c r="G14" s="112" t="inlineStr">
        <is>
          <t>135119</t>
        </is>
      </c>
      <c r="H14" s="113" t="inlineStr">
        <is>
          <t>confere</t>
        </is>
      </c>
      <c r="I14" s="112" t="inlineStr">
        <is>
          <t>ITAIPU</t>
        </is>
      </c>
      <c r="J14" s="112" t="inlineStr">
        <is>
          <t>ITAIPU</t>
        </is>
      </c>
      <c r="K14" s="113" t="inlineStr">
        <is>
          <t>confere</t>
        </is>
      </c>
      <c r="L14" s="112" t="inlineStr">
        <is>
          <t>03/2023</t>
        </is>
      </c>
      <c r="M14" s="112" t="inlineStr">
        <is>
          <t>01/03/2023</t>
        </is>
      </c>
      <c r="N14" s="113" t="inlineStr">
        <is>
          <t>confere</t>
        </is>
      </c>
      <c r="O14" s="112" t="inlineStr">
        <is>
          <t>34,5KV</t>
        </is>
      </c>
      <c r="P14" s="112" t="inlineStr">
        <is>
          <t>4,03</t>
        </is>
      </c>
      <c r="Q14" s="112" t="inlineStr">
        <is>
          <t>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22"/>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1" customWidth="1" min="2" max="2"/>
    <col width="20" customWidth="1" min="3" max="3"/>
    <col width="11" customWidth="1" min="4" max="4"/>
    <col width="1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1" customWidth="1" min="28" max="28"/>
    <col width="2.1" customWidth="1" min="29" max="29"/>
    <col width="2.1" customWidth="1" min="30" max="30"/>
    <col width="2.1" customWidth="1" min="31" max="31"/>
    <col width="2.1" customWidth="1" min="32" max="32"/>
    <col width="2.1" customWidth="1" min="33" max="33"/>
    <col width="2.1" customWidth="1" min="34" max="34"/>
    <col width="2.1" customWidth="1" min="35" max="35"/>
    <col width="2.1" customWidth="1" min="36" max="36"/>
    <col width="2.1" customWidth="1" min="37" max="37"/>
    <col width="2.1" customWidth="1" min="38" max="38"/>
    <col width="2.1" customWidth="1" min="39" max="39"/>
  </cols>
  <sheetData>
    <row r="1" ht="24" customHeight="1">
      <c r="A1" s="1" t="inlineStr">
        <is>
          <t>Cada caso contra o prazo de 72 horas</t>
        </is>
      </c>
    </row>
    <row r="2">
      <c r="A2" s="2" t="inlineStr">
        <is>
          <t>Escala comum de −60 h a +110 h em torno da abertura da SS. Azul = interrupção na Crítica · laranja = SS aberta · cinza = prazo de 72 h · verde/vermelho = conclusão.</t>
        </is>
      </c>
    </row>
    <row r="4" ht="30" customHeight="1">
      <c r="A4" s="15" t="inlineStr">
        <is>
          <t>Transformador</t>
        </is>
      </c>
      <c r="B4" s="16" t="inlineStr">
        <is>
          <t>SS</t>
        </is>
      </c>
      <c r="C4" s="16" t="inlineStr">
        <is>
          <t>Local</t>
        </is>
      </c>
      <c r="D4" s="16" t="inlineStr">
        <is>
          <t>Atend. (h)</t>
        </is>
      </c>
      <c r="E4" s="16" t="inlineStr">
        <is>
          <t>Folga (h)</t>
        </is>
      </c>
      <c r="F4" s="17" t="n">
        <v>-60</v>
      </c>
      <c r="G4" s="17" t="inlineStr"/>
      <c r="H4" s="17" t="inlineStr"/>
      <c r="I4" s="17" t="inlineStr"/>
      <c r="J4" s="17" t="inlineStr"/>
      <c r="K4" s="17" t="inlineStr"/>
      <c r="L4" s="17" t="n">
        <v>-30</v>
      </c>
      <c r="M4" s="17" t="inlineStr"/>
      <c r="N4" s="17" t="inlineStr"/>
      <c r="O4" s="17" t="inlineStr"/>
      <c r="P4" s="17" t="inlineStr"/>
      <c r="Q4" s="17" t="inlineStr"/>
      <c r="R4" s="17" t="n">
        <v>0</v>
      </c>
      <c r="S4" s="17" t="inlineStr"/>
      <c r="T4" s="17" t="inlineStr"/>
      <c r="U4" s="17" t="inlineStr"/>
      <c r="V4" s="17" t="inlineStr"/>
      <c r="W4" s="17" t="inlineStr"/>
      <c r="X4" s="17" t="n">
        <v>30</v>
      </c>
      <c r="Y4" s="17" t="inlineStr"/>
      <c r="Z4" s="17" t="inlineStr"/>
      <c r="AA4" s="17" t="inlineStr"/>
      <c r="AB4" s="17" t="inlineStr"/>
      <c r="AC4" s="17" t="inlineStr"/>
      <c r="AD4" s="17" t="n">
        <v>60</v>
      </c>
      <c r="AE4" s="17" t="inlineStr"/>
      <c r="AF4" s="17" t="inlineStr"/>
      <c r="AG4" s="17" t="inlineStr"/>
      <c r="AH4" s="17" t="inlineStr"/>
      <c r="AI4" s="17" t="inlineStr"/>
      <c r="AJ4" s="17" t="n">
        <v>90</v>
      </c>
      <c r="AK4" s="17" t="inlineStr"/>
      <c r="AL4" s="17" t="inlineStr"/>
      <c r="AM4" s="17" t="inlineStr"/>
    </row>
    <row r="5" ht="17" customHeight="1">
      <c r="A5" s="18" t="inlineStr">
        <is>
          <t>5310024091</t>
        </is>
      </c>
      <c r="B5" s="19" t="inlineStr">
        <is>
          <t>ETO-RD-DP 00011/2026</t>
        </is>
      </c>
      <c r="C5" s="19" t="inlineStr">
        <is>
          <t>ALMAS</t>
        </is>
      </c>
      <c r="D5" s="20" t="n">
        <v>100</v>
      </c>
      <c r="E5" s="21" t="n">
        <v>-28</v>
      </c>
      <c r="F5" s="22" t="n"/>
      <c r="G5" s="22" t="n"/>
      <c r="H5" s="22" t="n"/>
      <c r="I5" s="22" t="n"/>
      <c r="J5" s="22" t="n"/>
      <c r="K5" s="22" t="n"/>
      <c r="L5" s="22" t="n"/>
      <c r="M5" s="22" t="n"/>
      <c r="N5" s="23" t="n"/>
      <c r="O5" s="23" t="n"/>
      <c r="P5" s="23" t="n"/>
      <c r="Q5" s="23" t="n"/>
      <c r="R5" s="24" t="n"/>
      <c r="S5" s="23" t="n"/>
      <c r="T5" s="23" t="n"/>
      <c r="U5" s="23" t="n"/>
      <c r="V5" s="23" t="n"/>
      <c r="W5" s="22" t="n"/>
      <c r="X5" s="22" t="n"/>
      <c r="Y5" s="22" t="n"/>
      <c r="Z5" s="22" t="n"/>
      <c r="AA5" s="22" t="n"/>
      <c r="AB5" s="22" t="n"/>
      <c r="AC5" s="22" t="n"/>
      <c r="AD5" s="22" t="n"/>
      <c r="AE5" s="22" t="n"/>
      <c r="AF5" s="25" t="n"/>
      <c r="AG5" s="22" t="n"/>
      <c r="AH5" s="22" t="n"/>
      <c r="AI5" s="22" t="n"/>
      <c r="AJ5" s="22" t="n"/>
      <c r="AK5" s="22" t="n"/>
      <c r="AL5" s="26" t="n"/>
      <c r="AM5" s="22" t="n"/>
    </row>
    <row r="6" ht="17" customHeight="1">
      <c r="A6" s="18" t="inlineStr">
        <is>
          <t>5741943048</t>
        </is>
      </c>
      <c r="B6" s="19" t="inlineStr">
        <is>
          <t>ETO-RD-GR 00052/2026</t>
        </is>
      </c>
      <c r="C6" s="19" t="inlineStr">
        <is>
          <t>FORTALEZA DO TABOCAO</t>
        </is>
      </c>
      <c r="D6" s="20" t="n">
        <v>27.5</v>
      </c>
      <c r="E6" s="27" t="n">
        <v>44.5</v>
      </c>
      <c r="F6" s="28" t="n"/>
      <c r="G6" s="28" t="n"/>
      <c r="H6" s="28" t="n"/>
      <c r="I6" s="28" t="n"/>
      <c r="J6" s="28" t="n"/>
      <c r="K6" s="28" t="n"/>
      <c r="L6" s="28" t="n"/>
      <c r="M6" s="28" t="n"/>
      <c r="N6" s="28" t="n"/>
      <c r="O6" s="28" t="n"/>
      <c r="P6" s="28" t="n"/>
      <c r="Q6" s="28" t="n"/>
      <c r="R6" s="24" t="n"/>
      <c r="S6" s="28" t="n"/>
      <c r="T6" s="28" t="n"/>
      <c r="U6" s="28" t="n"/>
      <c r="V6" s="28" t="n"/>
      <c r="W6" s="28" t="n"/>
      <c r="X6" s="29" t="n"/>
      <c r="Y6" s="28" t="n"/>
      <c r="Z6" s="28" t="n"/>
      <c r="AA6" s="28" t="n"/>
      <c r="AB6" s="28" t="n"/>
      <c r="AC6" s="28" t="n"/>
      <c r="AD6" s="28" t="n"/>
      <c r="AE6" s="28" t="n"/>
      <c r="AF6" s="25" t="n"/>
      <c r="AG6" s="28" t="n"/>
      <c r="AH6" s="28" t="n"/>
      <c r="AI6" s="28" t="n"/>
      <c r="AJ6" s="28" t="n"/>
      <c r="AK6" s="28" t="n"/>
      <c r="AL6" s="28" t="n"/>
      <c r="AM6" s="28" t="n"/>
    </row>
    <row r="7" ht="17" customHeight="1">
      <c r="A7" s="18" t="inlineStr">
        <is>
          <t>5744049021</t>
        </is>
      </c>
      <c r="B7" s="19" t="inlineStr">
        <is>
          <t>ETO-RD-GU 00061/2026</t>
        </is>
      </c>
      <c r="C7" s="19" t="inlineStr">
        <is>
          <t>PARANA</t>
        </is>
      </c>
      <c r="D7" s="20" t="n">
        <v>20.6</v>
      </c>
      <c r="E7" s="27" t="n">
        <v>51.4</v>
      </c>
      <c r="F7" s="22" t="n"/>
      <c r="G7" s="22" t="n"/>
      <c r="H7" s="22" t="n"/>
      <c r="I7" s="22" t="n"/>
      <c r="J7" s="22" t="n"/>
      <c r="K7" s="22" t="n"/>
      <c r="L7" s="22" t="n"/>
      <c r="M7" s="22" t="n"/>
      <c r="N7" s="22" t="n"/>
      <c r="O7" s="22" t="n"/>
      <c r="P7" s="22" t="n"/>
      <c r="Q7" s="22" t="n"/>
      <c r="R7" s="24" t="n"/>
      <c r="S7" s="22" t="n"/>
      <c r="T7" s="22" t="n"/>
      <c r="U7" s="22" t="n"/>
      <c r="V7" s="29" t="n"/>
      <c r="W7" s="22" t="n"/>
      <c r="X7" s="22" t="n"/>
      <c r="Y7" s="22" t="n"/>
      <c r="Z7" s="22" t="n"/>
      <c r="AA7" s="22" t="n"/>
      <c r="AB7" s="22" t="n"/>
      <c r="AC7" s="22" t="n"/>
      <c r="AD7" s="22" t="n"/>
      <c r="AE7" s="22" t="n"/>
      <c r="AF7" s="25" t="n"/>
      <c r="AG7" s="22" t="n"/>
      <c r="AH7" s="22" t="n"/>
      <c r="AI7" s="22" t="n"/>
      <c r="AJ7" s="22" t="n"/>
      <c r="AK7" s="22" t="n"/>
      <c r="AL7" s="22" t="n"/>
      <c r="AM7" s="22" t="n"/>
    </row>
    <row r="8" ht="17" customHeight="1">
      <c r="A8" s="18" t="inlineStr">
        <is>
          <t>5758640152</t>
        </is>
      </c>
      <c r="B8" s="19" t="inlineStr">
        <is>
          <t>DG-RD-PO 00085/2026</t>
        </is>
      </c>
      <c r="C8" s="19" t="inlineStr">
        <is>
          <t>SANTA ROSA DO TOCANTINS</t>
        </is>
      </c>
      <c r="D8" s="20" t="n">
        <v>21.3</v>
      </c>
      <c r="E8" s="27" t="n">
        <v>50.7</v>
      </c>
      <c r="F8" s="28" t="n"/>
      <c r="G8" s="28" t="n"/>
      <c r="H8" s="28" t="n"/>
      <c r="I8" s="28" t="n"/>
      <c r="J8" s="28" t="n"/>
      <c r="K8" s="28" t="n"/>
      <c r="L8" s="28" t="n"/>
      <c r="M8" s="28" t="n"/>
      <c r="N8" s="28" t="n"/>
      <c r="O8" s="28" t="n"/>
      <c r="P8" s="28" t="n"/>
      <c r="Q8" s="28" t="n"/>
      <c r="R8" s="24" t="n"/>
      <c r="S8" s="23" t="n"/>
      <c r="T8" s="23" t="n"/>
      <c r="U8" s="23" t="n"/>
      <c r="V8" s="29" t="n"/>
      <c r="W8" s="28" t="n"/>
      <c r="X8" s="28" t="n"/>
      <c r="Y8" s="28" t="n"/>
      <c r="Z8" s="28" t="n"/>
      <c r="AA8" s="28" t="n"/>
      <c r="AB8" s="28" t="n"/>
      <c r="AC8" s="28" t="n"/>
      <c r="AD8" s="28" t="n"/>
      <c r="AE8" s="28" t="n"/>
      <c r="AF8" s="25" t="n"/>
      <c r="AG8" s="28" t="n"/>
      <c r="AH8" s="28" t="n"/>
      <c r="AI8" s="28" t="n"/>
      <c r="AJ8" s="28" t="n"/>
      <c r="AK8" s="28" t="n"/>
      <c r="AL8" s="28" t="n"/>
      <c r="AM8" s="28" t="n"/>
    </row>
    <row r="9" ht="17" customHeight="1">
      <c r="A9" s="18" t="inlineStr">
        <is>
          <t>5710170052</t>
        </is>
      </c>
      <c r="B9" s="19" t="inlineStr">
        <is>
          <t>ETO-RD-GU 00202/2026</t>
        </is>
      </c>
      <c r="C9" s="19" t="inlineStr">
        <is>
          <t>FORMOSO DO ARAGUAIA</t>
        </is>
      </c>
      <c r="D9" s="20" t="n">
        <v>24.7</v>
      </c>
      <c r="E9" s="27" t="n">
        <v>47.3</v>
      </c>
      <c r="F9" s="22" t="n"/>
      <c r="G9" s="22" t="n"/>
      <c r="H9" s="22" t="n"/>
      <c r="I9" s="22" t="n"/>
      <c r="J9" s="22" t="n"/>
      <c r="K9" s="22" t="n"/>
      <c r="L9" s="22" t="n"/>
      <c r="M9" s="22" t="n"/>
      <c r="N9" s="22" t="n"/>
      <c r="O9" s="22" t="n"/>
      <c r="P9" s="22" t="n"/>
      <c r="Q9" s="23" t="n"/>
      <c r="R9" s="24" t="n"/>
      <c r="S9" s="23" t="n"/>
      <c r="T9" s="23" t="n"/>
      <c r="U9" s="23" t="n"/>
      <c r="V9" s="23" t="n"/>
      <c r="W9" s="29" t="n"/>
      <c r="X9" s="22" t="n"/>
      <c r="Y9" s="22" t="n"/>
      <c r="Z9" s="22" t="n"/>
      <c r="AA9" s="22" t="n"/>
      <c r="AB9" s="22" t="n"/>
      <c r="AC9" s="22" t="n"/>
      <c r="AD9" s="22" t="n"/>
      <c r="AE9" s="22" t="n"/>
      <c r="AF9" s="25" t="n"/>
      <c r="AG9" s="22" t="n"/>
      <c r="AH9" s="22" t="n"/>
      <c r="AI9" s="22" t="n"/>
      <c r="AJ9" s="22" t="n"/>
      <c r="AK9" s="22" t="n"/>
      <c r="AL9" s="22" t="n"/>
      <c r="AM9" s="22" t="n"/>
    </row>
    <row r="10" ht="17" customHeight="1">
      <c r="A10" s="18" t="inlineStr">
        <is>
          <t>5725809122</t>
        </is>
      </c>
      <c r="B10" s="19" t="inlineStr">
        <is>
          <t>ETO-RD-PA 00187/2026</t>
        </is>
      </c>
      <c r="C10" s="19" t="inlineStr">
        <is>
          <t>PALMAS</t>
        </is>
      </c>
      <c r="D10" s="20" t="n">
        <v>6.8</v>
      </c>
      <c r="E10" s="27" t="n">
        <v>65.2</v>
      </c>
      <c r="F10" s="28" t="n"/>
      <c r="G10" s="28" t="n"/>
      <c r="H10" s="28" t="n"/>
      <c r="I10" s="28" t="n"/>
      <c r="J10" s="28" t="n"/>
      <c r="K10" s="28" t="n"/>
      <c r="L10" s="28" t="n"/>
      <c r="M10" s="28" t="n"/>
      <c r="N10" s="28" t="n"/>
      <c r="O10" s="28" t="n"/>
      <c r="P10" s="28" t="n"/>
      <c r="Q10" s="28" t="n"/>
      <c r="R10" s="24" t="n"/>
      <c r="S10" s="29" t="n"/>
      <c r="T10" s="28" t="n"/>
      <c r="U10" s="28" t="n"/>
      <c r="V10" s="28" t="n"/>
      <c r="W10" s="28" t="n"/>
      <c r="X10" s="28" t="n"/>
      <c r="Y10" s="28" t="n"/>
      <c r="Z10" s="28" t="n"/>
      <c r="AA10" s="28" t="n"/>
      <c r="AB10" s="28" t="n"/>
      <c r="AC10" s="28" t="n"/>
      <c r="AD10" s="28" t="n"/>
      <c r="AE10" s="28" t="n"/>
      <c r="AF10" s="25" t="n"/>
      <c r="AG10" s="28" t="n"/>
      <c r="AH10" s="28" t="n"/>
      <c r="AI10" s="28" t="n"/>
      <c r="AJ10" s="28" t="n"/>
      <c r="AK10" s="28" t="n"/>
      <c r="AL10" s="28" t="n"/>
      <c r="AM10" s="28" t="n"/>
    </row>
    <row r="11" ht="17" customHeight="1">
      <c r="A11" s="18" t="inlineStr">
        <is>
          <t>5700010186</t>
        </is>
      </c>
      <c r="B11" s="19" t="inlineStr">
        <is>
          <t>ETO-RD-GU 00384/2026</t>
        </is>
      </c>
      <c r="C11" s="19" t="inlineStr">
        <is>
          <t>JAU DO TOCANTINS</t>
        </is>
      </c>
      <c r="D11" s="20" t="n">
        <v>14.7</v>
      </c>
      <c r="E11" s="27" t="n">
        <v>57.3</v>
      </c>
      <c r="F11" s="22" t="n"/>
      <c r="G11" s="22" t="n"/>
      <c r="H11" s="22" t="n"/>
      <c r="I11" s="22" t="n"/>
      <c r="J11" s="22" t="n"/>
      <c r="K11" s="22" t="n"/>
      <c r="L11" s="22" t="n"/>
      <c r="M11" s="22" t="n"/>
      <c r="N11" s="22" t="n"/>
      <c r="O11" s="22" t="n"/>
      <c r="P11" s="22" t="n"/>
      <c r="Q11" s="22" t="n"/>
      <c r="R11" s="24" t="n"/>
      <c r="S11" s="23" t="n"/>
      <c r="T11" s="23" t="n"/>
      <c r="U11" s="29" t="n"/>
      <c r="V11" s="22" t="n"/>
      <c r="W11" s="22" t="n"/>
      <c r="X11" s="22" t="n"/>
      <c r="Y11" s="22" t="n"/>
      <c r="Z11" s="22" t="n"/>
      <c r="AA11" s="22" t="n"/>
      <c r="AB11" s="22" t="n"/>
      <c r="AC11" s="22" t="n"/>
      <c r="AD11" s="22" t="n"/>
      <c r="AE11" s="22" t="n"/>
      <c r="AF11" s="25" t="n"/>
      <c r="AG11" s="22" t="n"/>
      <c r="AH11" s="22" t="n"/>
      <c r="AI11" s="22" t="n"/>
      <c r="AJ11" s="22" t="n"/>
      <c r="AK11" s="22" t="n"/>
      <c r="AL11" s="22" t="n"/>
      <c r="AM11" s="22" t="n"/>
    </row>
    <row r="12" ht="17" customHeight="1">
      <c r="A12" s="18" t="inlineStr">
        <is>
          <t>5727671110</t>
        </is>
      </c>
      <c r="B12" s="19" t="inlineStr">
        <is>
          <t>ENC-RD-PS 00435/2026</t>
        </is>
      </c>
      <c r="C12" s="19" t="inlineStr">
        <is>
          <t>SANTA RITA DO TOCANTINS</t>
        </is>
      </c>
      <c r="D12" s="20" t="n">
        <v>24.6</v>
      </c>
      <c r="E12" s="27" t="n">
        <v>47.4</v>
      </c>
      <c r="F12" s="28" t="n"/>
      <c r="G12" s="28" t="n"/>
      <c r="H12" s="28" t="n"/>
      <c r="I12" s="28" t="n"/>
      <c r="J12" s="28" t="n"/>
      <c r="K12" s="28" t="n"/>
      <c r="L12" s="28" t="n"/>
      <c r="M12" s="28" t="n"/>
      <c r="N12" s="23" t="n"/>
      <c r="O12" s="23" t="n"/>
      <c r="P12" s="23" t="n"/>
      <c r="Q12" s="23" t="n"/>
      <c r="R12" s="24" t="n"/>
      <c r="S12" s="23" t="n"/>
      <c r="T12" s="23" t="n"/>
      <c r="U12" s="23" t="n"/>
      <c r="V12" s="23" t="n"/>
      <c r="W12" s="29" t="n"/>
      <c r="X12" s="28" t="n"/>
      <c r="Y12" s="28" t="n"/>
      <c r="Z12" s="28" t="n"/>
      <c r="AA12" s="28" t="n"/>
      <c r="AB12" s="28" t="n"/>
      <c r="AC12" s="28" t="n"/>
      <c r="AD12" s="28" t="n"/>
      <c r="AE12" s="28" t="n"/>
      <c r="AF12" s="25" t="n"/>
      <c r="AG12" s="28" t="n"/>
      <c r="AH12" s="28" t="n"/>
      <c r="AI12" s="28" t="n"/>
      <c r="AJ12" s="28" t="n"/>
      <c r="AK12" s="28" t="n"/>
      <c r="AL12" s="28" t="n"/>
      <c r="AM12" s="28" t="n"/>
    </row>
    <row r="13" ht="17" customHeight="1">
      <c r="A13" s="18" t="inlineStr">
        <is>
          <t>5700001112</t>
        </is>
      </c>
      <c r="B13" s="19" t="inlineStr">
        <is>
          <t>ETO-RD-GR 00405/2026</t>
        </is>
      </c>
      <c r="C13" s="19" t="inlineStr">
        <is>
          <t>COLMEIA</t>
        </is>
      </c>
      <c r="D13" s="20" t="n">
        <v>8.6</v>
      </c>
      <c r="E13" s="27" t="n">
        <v>63.4</v>
      </c>
      <c r="F13" s="22" t="n"/>
      <c r="G13" s="22" t="n"/>
      <c r="H13" s="22" t="n"/>
      <c r="I13" s="22" t="n"/>
      <c r="J13" s="22" t="n"/>
      <c r="K13" s="22" t="n"/>
      <c r="L13" s="22" t="n"/>
      <c r="M13" s="22" t="n"/>
      <c r="N13" s="22" t="n"/>
      <c r="O13" s="22" t="n"/>
      <c r="P13" s="22" t="n"/>
      <c r="Q13" s="22" t="n"/>
      <c r="R13" s="24" t="n"/>
      <c r="S13" s="23" t="n"/>
      <c r="T13" s="29" t="n"/>
      <c r="U13" s="22" t="n"/>
      <c r="V13" s="22" t="n"/>
      <c r="W13" s="22" t="n"/>
      <c r="X13" s="22" t="n"/>
      <c r="Y13" s="22" t="n"/>
      <c r="Z13" s="22" t="n"/>
      <c r="AA13" s="22" t="n"/>
      <c r="AB13" s="22" t="n"/>
      <c r="AC13" s="22" t="n"/>
      <c r="AD13" s="22" t="n"/>
      <c r="AE13" s="22" t="n"/>
      <c r="AF13" s="25" t="n"/>
      <c r="AG13" s="22" t="n"/>
      <c r="AH13" s="22" t="n"/>
      <c r="AI13" s="22" t="n"/>
      <c r="AJ13" s="22" t="n"/>
      <c r="AK13" s="22" t="n"/>
      <c r="AL13" s="22" t="n"/>
      <c r="AM13" s="22" t="n"/>
    </row>
    <row r="14" ht="17" customHeight="1">
      <c r="A14" s="18" t="inlineStr">
        <is>
          <t>5737010110</t>
        </is>
      </c>
      <c r="B14" s="19" t="inlineStr">
        <is>
          <t>DG-RD-PO 00331/2026</t>
        </is>
      </c>
      <c r="C14" s="19" t="inlineStr">
        <is>
          <t>SANTA RITA DO TOCANTINS</t>
        </is>
      </c>
      <c r="D14" s="20" t="n">
        <v>26.2</v>
      </c>
      <c r="E14" s="27" t="n">
        <v>45.8</v>
      </c>
      <c r="F14" s="28" t="n"/>
      <c r="G14" s="28" t="n"/>
      <c r="H14" s="28" t="n"/>
      <c r="I14" s="28" t="n"/>
      <c r="J14" s="28" t="n"/>
      <c r="K14" s="28" t="n"/>
      <c r="L14" s="28" t="n"/>
      <c r="M14" s="28" t="n"/>
      <c r="N14" s="23" t="n"/>
      <c r="O14" s="23" t="n"/>
      <c r="P14" s="23" t="n"/>
      <c r="Q14" s="23" t="n"/>
      <c r="R14" s="24" t="n"/>
      <c r="S14" s="23" t="n"/>
      <c r="T14" s="23" t="n"/>
      <c r="U14" s="23" t="n"/>
      <c r="V14" s="23" t="n"/>
      <c r="W14" s="29" t="n"/>
      <c r="X14" s="28" t="n"/>
      <c r="Y14" s="28" t="n"/>
      <c r="Z14" s="28" t="n"/>
      <c r="AA14" s="28" t="n"/>
      <c r="AB14" s="28" t="n"/>
      <c r="AC14" s="28" t="n"/>
      <c r="AD14" s="28" t="n"/>
      <c r="AE14" s="28" t="n"/>
      <c r="AF14" s="25" t="n"/>
      <c r="AG14" s="28" t="n"/>
      <c r="AH14" s="28" t="n"/>
      <c r="AI14" s="28" t="n"/>
      <c r="AJ14" s="28" t="n"/>
      <c r="AK14" s="28" t="n"/>
      <c r="AL14" s="28" t="n"/>
      <c r="AM14" s="28" t="n"/>
    </row>
    <row r="15" ht="17" customHeight="1">
      <c r="A15" s="18" t="inlineStr">
        <is>
          <t>5731658122</t>
        </is>
      </c>
      <c r="B15" s="19" t="inlineStr">
        <is>
          <t>DOLP-RD-PA 00493/2026</t>
        </is>
      </c>
      <c r="C15" s="19" t="inlineStr">
        <is>
          <t>PALMAS</t>
        </is>
      </c>
      <c r="D15" s="20" t="n">
        <v>6.2</v>
      </c>
      <c r="E15" s="27" t="n">
        <v>65.8</v>
      </c>
      <c r="F15" s="22" t="n"/>
      <c r="G15" s="22" t="n"/>
      <c r="H15" s="22" t="n"/>
      <c r="I15" s="22" t="n"/>
      <c r="J15" s="22" t="n"/>
      <c r="K15" s="22" t="n"/>
      <c r="L15" s="22" t="n"/>
      <c r="M15" s="22" t="n"/>
      <c r="N15" s="22" t="n"/>
      <c r="O15" s="22" t="n"/>
      <c r="P15" s="22" t="n"/>
      <c r="Q15" s="22" t="n"/>
      <c r="R15" s="24" t="n"/>
      <c r="S15" s="29" t="n"/>
      <c r="T15" s="22" t="n"/>
      <c r="U15" s="22" t="n"/>
      <c r="V15" s="22" t="n"/>
      <c r="W15" s="22" t="n"/>
      <c r="X15" s="22" t="n"/>
      <c r="Y15" s="22" t="n"/>
      <c r="Z15" s="22" t="n"/>
      <c r="AA15" s="22" t="n"/>
      <c r="AB15" s="22" t="n"/>
      <c r="AC15" s="22" t="n"/>
      <c r="AD15" s="22" t="n"/>
      <c r="AE15" s="22" t="n"/>
      <c r="AF15" s="25" t="n"/>
      <c r="AG15" s="22" t="n"/>
      <c r="AH15" s="22" t="n"/>
      <c r="AI15" s="22" t="n"/>
      <c r="AJ15" s="22" t="n"/>
      <c r="AK15" s="22" t="n"/>
      <c r="AL15" s="22" t="n"/>
      <c r="AM15" s="22" t="n"/>
    </row>
    <row r="16" ht="17" customHeight="1">
      <c r="A16" s="18" t="inlineStr">
        <is>
          <t>5700177250</t>
        </is>
      </c>
      <c r="B16" s="19" t="inlineStr">
        <is>
          <t>DG-RD-PO 00400/2026</t>
        </is>
      </c>
      <c r="C16" s="19" t="inlineStr">
        <is>
          <t>IPUEIRAS</t>
        </is>
      </c>
      <c r="D16" s="20" t="n">
        <v>24.1</v>
      </c>
      <c r="E16" s="27" t="n">
        <v>47.9</v>
      </c>
      <c r="F16" s="28" t="n"/>
      <c r="G16" s="28" t="n"/>
      <c r="H16" s="28" t="n"/>
      <c r="I16" s="28" t="n"/>
      <c r="J16" s="28" t="n"/>
      <c r="K16" s="28" t="n"/>
      <c r="L16" s="28" t="n"/>
      <c r="M16" s="28" t="n"/>
      <c r="N16" s="28" t="n"/>
      <c r="O16" s="28" t="n"/>
      <c r="P16" s="28" t="n"/>
      <c r="Q16" s="23" t="n"/>
      <c r="R16" s="24" t="n"/>
      <c r="S16" s="23" t="n"/>
      <c r="T16" s="23" t="n"/>
      <c r="U16" s="23" t="n"/>
      <c r="V16" s="23" t="n"/>
      <c r="W16" s="29" t="n"/>
      <c r="X16" s="28" t="n"/>
      <c r="Y16" s="28" t="n"/>
      <c r="Z16" s="28" t="n"/>
      <c r="AA16" s="28" t="n"/>
      <c r="AB16" s="28" t="n"/>
      <c r="AC16" s="28" t="n"/>
      <c r="AD16" s="28" t="n"/>
      <c r="AE16" s="28" t="n"/>
      <c r="AF16" s="25" t="n"/>
      <c r="AG16" s="28" t="n"/>
      <c r="AH16" s="28" t="n"/>
      <c r="AI16" s="28" t="n"/>
      <c r="AJ16" s="28" t="n"/>
      <c r="AK16" s="28" t="n"/>
      <c r="AL16" s="28" t="n"/>
      <c r="AM16" s="28" t="n"/>
    </row>
    <row r="17" ht="17" customHeight="1">
      <c r="A17" s="18" t="inlineStr">
        <is>
          <t>5710016016</t>
        </is>
      </c>
      <c r="B17" s="19" t="inlineStr">
        <is>
          <t>ETO-RD-AR 01134/2026</t>
        </is>
      </c>
      <c r="C17" s="19" t="inlineStr">
        <is>
          <t>WANDERLANDIA</t>
        </is>
      </c>
      <c r="D17" s="20" t="n">
        <v>5.1</v>
      </c>
      <c r="E17" s="27" t="n">
        <v>66.90000000000001</v>
      </c>
      <c r="F17" s="22" t="n"/>
      <c r="G17" s="22" t="n"/>
      <c r="H17" s="22" t="n"/>
      <c r="I17" s="22" t="n"/>
      <c r="J17" s="22" t="n"/>
      <c r="K17" s="22" t="n"/>
      <c r="L17" s="22" t="n"/>
      <c r="M17" s="22" t="n"/>
      <c r="N17" s="22" t="n"/>
      <c r="O17" s="22" t="n"/>
      <c r="P17" s="22" t="n"/>
      <c r="Q17" s="23" t="n"/>
      <c r="R17" s="24" t="n"/>
      <c r="S17" s="29" t="n"/>
      <c r="T17" s="22" t="n"/>
      <c r="U17" s="22" t="n"/>
      <c r="V17" s="22" t="n"/>
      <c r="W17" s="22" t="n"/>
      <c r="X17" s="22" t="n"/>
      <c r="Y17" s="22" t="n"/>
      <c r="Z17" s="22" t="n"/>
      <c r="AA17" s="22" t="n"/>
      <c r="AB17" s="22" t="n"/>
      <c r="AC17" s="22" t="n"/>
      <c r="AD17" s="22" t="n"/>
      <c r="AE17" s="22" t="n"/>
      <c r="AF17" s="25" t="n"/>
      <c r="AG17" s="22" t="n"/>
      <c r="AH17" s="22" t="n"/>
      <c r="AI17" s="22" t="n"/>
      <c r="AJ17" s="22" t="n"/>
      <c r="AK17" s="22" t="n"/>
      <c r="AL17" s="22" t="n"/>
      <c r="AM17" s="22" t="n"/>
    </row>
    <row r="18" ht="17" customHeight="1">
      <c r="A18" s="18" t="inlineStr">
        <is>
          <t>5700577150</t>
        </is>
      </c>
      <c r="B18" s="19" t="inlineStr">
        <is>
          <t>ETO-RD-DP 00501/2026</t>
        </is>
      </c>
      <c r="C18" s="19" t="inlineStr">
        <is>
          <t>NATIVIDADE</t>
        </is>
      </c>
      <c r="D18" s="20" t="n">
        <v>7.5</v>
      </c>
      <c r="E18" s="27" t="n">
        <v>64.5</v>
      </c>
      <c r="F18" s="28" t="n"/>
      <c r="G18" s="28" t="n"/>
      <c r="H18" s="28" t="n"/>
      <c r="I18" s="28" t="n"/>
      <c r="J18" s="28" t="n"/>
      <c r="K18" s="28" t="n"/>
      <c r="L18" s="28" t="n"/>
      <c r="M18" s="28" t="n"/>
      <c r="N18" s="28" t="n"/>
      <c r="O18" s="28" t="n"/>
      <c r="P18" s="28" t="n"/>
      <c r="Q18" s="28" t="n"/>
      <c r="R18" s="24" t="n"/>
      <c r="S18" s="28" t="n"/>
      <c r="T18" s="29" t="n"/>
      <c r="U18" s="28" t="n"/>
      <c r="V18" s="28" t="n"/>
      <c r="W18" s="28" t="n"/>
      <c r="X18" s="28" t="n"/>
      <c r="Y18" s="28" t="n"/>
      <c r="Z18" s="28" t="n"/>
      <c r="AA18" s="28" t="n"/>
      <c r="AB18" s="28" t="n"/>
      <c r="AC18" s="28" t="n"/>
      <c r="AD18" s="28" t="n"/>
      <c r="AE18" s="28" t="n"/>
      <c r="AF18" s="25" t="n"/>
      <c r="AG18" s="28" t="n"/>
      <c r="AH18" s="28" t="n"/>
      <c r="AI18" s="28" t="n"/>
      <c r="AJ18" s="28" t="n"/>
      <c r="AK18" s="28" t="n"/>
      <c r="AL18" s="28" t="n"/>
      <c r="AM18" s="28" t="n"/>
    </row>
    <row r="19" ht="17" customHeight="1">
      <c r="A19" s="18" t="inlineStr">
        <is>
          <t>5746834038</t>
        </is>
      </c>
      <c r="B19" s="19" t="inlineStr">
        <is>
          <t>ETO-RD-DP 00528/2026</t>
        </is>
      </c>
      <c r="C19" s="19" t="inlineStr">
        <is>
          <t>TAGUATINGA</t>
        </is>
      </c>
      <c r="D19" s="20" t="n">
        <v>23.1</v>
      </c>
      <c r="E19" s="27" t="n">
        <v>48.9</v>
      </c>
      <c r="F19" s="22" t="n"/>
      <c r="G19" s="22" t="n"/>
      <c r="H19" s="22" t="n"/>
      <c r="I19" s="22" t="n"/>
      <c r="J19" s="22" t="n"/>
      <c r="K19" s="22" t="n"/>
      <c r="L19" s="22" t="n"/>
      <c r="M19" s="22" t="n"/>
      <c r="N19" s="22" t="n"/>
      <c r="O19" s="22" t="n"/>
      <c r="P19" s="22" t="n"/>
      <c r="Q19" s="22" t="n"/>
      <c r="R19" s="24" t="n"/>
      <c r="S19" s="22" t="n"/>
      <c r="T19" s="22" t="n"/>
      <c r="U19" s="22" t="n"/>
      <c r="V19" s="22" t="n"/>
      <c r="W19" s="29" t="n"/>
      <c r="X19" s="22" t="n"/>
      <c r="Y19" s="22" t="n"/>
      <c r="Z19" s="22" t="n"/>
      <c r="AA19" s="22" t="n"/>
      <c r="AB19" s="22" t="n"/>
      <c r="AC19" s="22" t="n"/>
      <c r="AD19" s="22" t="n"/>
      <c r="AE19" s="22" t="n"/>
      <c r="AF19" s="25" t="n"/>
      <c r="AG19" s="22" t="n"/>
      <c r="AH19" s="22" t="n"/>
      <c r="AI19" s="22" t="n"/>
      <c r="AJ19" s="22" t="n"/>
      <c r="AK19" s="22" t="n"/>
      <c r="AL19" s="22" t="n"/>
      <c r="AM19" s="22" t="n"/>
    </row>
    <row r="20" ht="17" customHeight="1">
      <c r="A20" s="18" t="inlineStr">
        <is>
          <t>5700239104</t>
        </is>
      </c>
      <c r="B20" s="19" t="inlineStr">
        <is>
          <t>ETO-RD-GR 00915/2026</t>
        </is>
      </c>
      <c r="C20" s="19" t="inlineStr">
        <is>
          <t>SANTA MARIA DO TOCANTINS</t>
        </is>
      </c>
      <c r="D20" s="20" t="n"/>
      <c r="E20" s="27" t="n"/>
      <c r="F20" s="28" t="n"/>
      <c r="G20" s="28" t="n"/>
      <c r="H20" s="28" t="n"/>
      <c r="I20" s="28" t="n"/>
      <c r="J20" s="28" t="n"/>
      <c r="K20" s="28" t="n"/>
      <c r="L20" s="28" t="n"/>
      <c r="M20" s="28" t="n"/>
      <c r="N20" s="28" t="n"/>
      <c r="O20" s="28" t="n"/>
      <c r="P20" s="28" t="n"/>
      <c r="Q20" s="28" t="n"/>
      <c r="R20" s="24" t="n"/>
      <c r="S20" s="28" t="n"/>
      <c r="T20" s="28" t="n"/>
      <c r="U20" s="28" t="n"/>
      <c r="V20" s="28" t="n"/>
      <c r="W20" s="28" t="n"/>
      <c r="X20" s="28" t="n"/>
      <c r="Y20" s="28" t="n"/>
      <c r="Z20" s="28" t="n"/>
      <c r="AA20" s="28" t="n"/>
      <c r="AB20" s="28" t="n"/>
      <c r="AC20" s="28" t="n"/>
      <c r="AD20" s="28" t="n"/>
      <c r="AE20" s="28" t="n"/>
      <c r="AF20" s="25" t="n"/>
      <c r="AG20" s="28" t="n"/>
      <c r="AH20" s="28" t="n"/>
      <c r="AI20" s="28" t="n"/>
      <c r="AJ20" s="28" t="n"/>
      <c r="AK20" s="28" t="n"/>
      <c r="AL20" s="28" t="n"/>
      <c r="AM20" s="28" t="n"/>
    </row>
    <row r="22">
      <c r="A22" s="30" t="inlineStr">
        <is>
          <t>Legenda:</t>
        </is>
      </c>
      <c r="B22" s="23" t="n"/>
      <c r="C22" s="31" t="inlineStr">
        <is>
          <t>interrupção</t>
        </is>
      </c>
      <c r="D22" s="24" t="n"/>
      <c r="E22" s="31" t="inlineStr">
        <is>
          <t>SS aberta</t>
        </is>
      </c>
      <c r="F22" s="25" t="n"/>
      <c r="G22" s="31" t="inlineStr">
        <is>
          <t>prazo 72 h</t>
        </is>
      </c>
      <c r="H22" s="29" t="n"/>
      <c r="I22" s="31" t="inlineStr">
        <is>
          <t>concluída no prazo</t>
        </is>
      </c>
      <c r="J22" s="26" t="n"/>
      <c r="K22" s="31" t="inlineStr">
        <is>
          <t>concluída em atraso</t>
        </is>
      </c>
    </row>
  </sheetData>
  <conditionalFormatting sqref="D5:D20">
    <cfRule type="dataBar" priority="1">
      <dataBar>
        <cfvo type="num" val="0"/>
        <cfvo type="num" val="110"/>
        <color rgb="00C55A11"/>
      </dataBar>
    </cfRule>
  </conditionalFormatting>
  <conditionalFormatting sqref="E5:E20">
    <cfRule type="cellIs" priority="2" operator="lessThan" dxfId="0">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1" customWidth="1" min="2" max="2"/>
    <col width="26" customWidth="1" min="3" max="3"/>
    <col width="14" customWidth="1" min="4" max="4"/>
    <col width="14" customWidth="1" min="5" max="5"/>
    <col width="86" customWidth="1" min="6" max="6"/>
  </cols>
  <sheetData>
    <row r="1">
      <c r="A1" s="1" t="inlineStr">
        <is>
          <t>Conferência contra a Crítica bruta</t>
        </is>
      </c>
    </row>
    <row r="2">
      <c r="A2" s="2" t="inlineStr">
        <is>
          <t>Cada ocorrência do site foi procurada nos arquivos originais da Crítica (jan a jun e agosto), nas três colunas de ativo, e também pelas chaves gêmeas. Julho se perdeu.</t>
        </is>
      </c>
    </row>
    <row r="4" ht="30" customHeight="1">
      <c r="A4" s="56" t="inlineStr">
        <is>
          <t>Transformador</t>
        </is>
      </c>
      <c r="B4" s="56" t="inlineStr">
        <is>
          <t>SS</t>
        </is>
      </c>
      <c r="C4" s="56" t="inlineStr">
        <is>
          <t>Veredito</t>
        </is>
      </c>
      <c r="D4" s="56" t="inlineStr">
        <is>
          <t>Ocorrências do ativo na Crítica bruta</t>
        </is>
      </c>
      <c r="E4" s="56" t="inlineStr">
        <is>
          <t>Dentro da janela</t>
        </is>
      </c>
      <c r="F4" s="56" t="inlineStr">
        <is>
          <t>O que a conferência mostrou</t>
        </is>
      </c>
    </row>
    <row r="5" ht="58" customHeight="1">
      <c r="A5" s="95" t="inlineStr">
        <is>
          <t>5700239104</t>
        </is>
      </c>
      <c r="B5" s="95" t="inlineStr">
        <is>
          <t>ETO-RD-GR 00915/2026</t>
        </is>
      </c>
      <c r="C5" s="58" t="inlineStr">
        <is>
          <t>Sem registro</t>
        </is>
      </c>
      <c r="D5" s="96" t="n">
        <v>0</v>
      </c>
      <c r="E5" s="96" t="n">
        <v>0</v>
      </c>
      <c r="F5" s="60" t="inlineStr">
        <is>
          <t>Ativo não aparece na Crítica em mês nenhum, nem pela chave gêmea. A SS também não está na base de SS/OS — é posterior ao recorte.</t>
        </is>
      </c>
    </row>
    <row r="6" ht="58" customHeight="1">
      <c r="A6" s="105" t="inlineStr">
        <is>
          <t>5746834038</t>
        </is>
      </c>
      <c r="B6" s="105" t="inlineStr">
        <is>
          <t>ETO-RD-DP 00528/2026</t>
        </is>
      </c>
      <c r="C6" s="62" t="inlineStr">
        <is>
          <t>CORRIGIR — tem interrupção</t>
        </is>
      </c>
      <c r="D6" s="106" t="n">
        <v>3</v>
      </c>
      <c r="E6" s="106" t="n">
        <v>1</v>
      </c>
      <c r="F6" s="64" t="inlineStr">
        <is>
          <t>A Crítica bruta de agosto traz a ocorrência 20264842021661, de 27/08 18:41 a 28/08 09:53, causa TRANSFORMADOR, com o trafo como problema, interrompido e fechado. Cai dentro da janela. O site não enxergava porque a esteira das 1.582 para em julho.</t>
        </is>
      </c>
    </row>
    <row r="7" ht="58" customHeight="1">
      <c r="A7" s="95" t="inlineStr">
        <is>
          <t>5700577150</t>
        </is>
      </c>
      <c r="B7" s="95" t="inlineStr">
        <is>
          <t>ETO-RD-DP 00501/2026</t>
        </is>
      </c>
      <c r="C7" s="65" t="inlineStr">
        <is>
          <t>Confirmado fora da janela</t>
        </is>
      </c>
      <c r="D7" s="96" t="n">
        <v>2</v>
      </c>
      <c r="E7" s="96" t="n">
        <v>0</v>
      </c>
      <c r="F7" s="60" t="inlineStr">
        <is>
          <t>A ocorrência mais próxima é 15/08 17:45, 44,8 h depois da SS, e a causa é CONEXÃO/JUMPER, não transformador. O ativo tem só mais uma, de janeiro. Fica fora com razão.</t>
        </is>
      </c>
    </row>
    <row r="8" ht="58" customHeight="1">
      <c r="A8" s="98" t="inlineStr">
        <is>
          <t>5710016016</t>
        </is>
      </c>
      <c r="B8" s="98" t="inlineStr">
        <is>
          <t>ETO-RD-AR 01134/2026</t>
        </is>
      </c>
      <c r="C8" s="67" t="inlineStr">
        <is>
          <t>Não verificável</t>
        </is>
      </c>
      <c r="D8" s="99" t="n">
        <v>0</v>
      </c>
      <c r="E8" s="99" t="n">
        <v>0</v>
      </c>
      <c r="F8" s="69" t="inlineStr">
        <is>
          <t>A Crítica bruta de julho se perdeu. O site traz uma ocorrência de 20/07 15:25 sem número, vinda da extração por SS. Não há como conferir contra a base bruta.</t>
        </is>
      </c>
    </row>
    <row r="9" ht="58" customHeight="1">
      <c r="A9" s="95" t="inlineStr">
        <is>
          <t>5700177250</t>
        </is>
      </c>
      <c r="B9" s="95" t="inlineStr">
        <is>
          <t>DG-RD-PO 00400/2026</t>
        </is>
      </c>
      <c r="C9" s="65" t="inlineStr">
        <is>
          <t>Confere, com ressalva</t>
        </is>
      </c>
      <c r="D9" s="96" t="n">
        <v>4</v>
      </c>
      <c r="E9" s="96" t="n">
        <v>1</v>
      </c>
      <c r="F9" s="60" t="inlineStr">
        <is>
          <t>Ocorrência 20264470653384 confirmada na janela, causa TRANSFORMADOR. Mas na bruta o trafo aparece só como elemento com problema, não como interrompido nem fechado, e o fim é 02/06 16:39 e não 03/06 17:05 como o site registra.</t>
        </is>
      </c>
    </row>
    <row r="10" ht="58" customHeight="1">
      <c r="A10" s="98" t="inlineStr">
        <is>
          <t>5731658122</t>
        </is>
      </c>
      <c r="B10" s="98" t="inlineStr">
        <is>
          <t>DOLP-RD-PA 00493/2026</t>
        </is>
      </c>
      <c r="C10" s="70" t="inlineStr">
        <is>
          <t>Confere</t>
        </is>
      </c>
      <c r="D10" s="99" t="n">
        <v>1</v>
      </c>
      <c r="E10" s="99" t="n">
        <v>1</v>
      </c>
      <c r="F10" s="69" t="inlineStr">
        <is>
          <t>Ocorrência 20264322412157 idêntica na bruta. Causa é DESLIGAMENTO SEM PROGRAMAÇÃO PRÉVIA, subcausa RD DE BT — não é falha do transformador.</t>
        </is>
      </c>
    </row>
    <row r="11" ht="58" customHeight="1">
      <c r="A11" s="95" t="inlineStr">
        <is>
          <t>5737010110</t>
        </is>
      </c>
      <c r="B11" s="95" t="inlineStr">
        <is>
          <t>DG-RD-PO 00331/2026</t>
        </is>
      </c>
      <c r="C11" s="65" t="inlineStr">
        <is>
          <t>Confere</t>
        </is>
      </c>
      <c r="D11" s="96" t="n">
        <v>1</v>
      </c>
      <c r="E11" s="96" t="n">
        <v>1</v>
      </c>
      <c r="F11" s="60" t="inlineStr">
        <is>
          <t>Ocorrência 20264283274315 idêntica, causa TRANSFORMADOR, trafo nos três papéis.</t>
        </is>
      </c>
    </row>
    <row r="12" ht="58" customHeight="1">
      <c r="A12" s="105" t="inlineStr">
        <is>
          <t>5700001112</t>
        </is>
      </c>
      <c r="B12" s="105" t="inlineStr">
        <is>
          <t>ETO-RD-GR 00405/2026</t>
        </is>
      </c>
      <c r="C12" s="71" t="inlineStr">
        <is>
          <t>DIVERGE — ocorrência posterior à SS</t>
        </is>
      </c>
      <c r="D12" s="106" t="n">
        <v>5</v>
      </c>
      <c r="E12" s="106" t="n">
        <v>0</v>
      </c>
      <c r="F12" s="64" t="inlineStr">
        <is>
          <t>A ocorrência casada começa 06/04 22:19, cinco horas e meia DEPOIS da SS ter sido aberta às 16:56. O ativo tem outras quatro ocorrências no período, nenhuma na janela. A causa FALHA BUCHA DE BT não pode ser atribuída a um evento que ainda não tinha acontecido.</t>
        </is>
      </c>
    </row>
    <row r="13" ht="58" customHeight="1">
      <c r="A13" s="95" t="inlineStr">
        <is>
          <t>5727671110</t>
        </is>
      </c>
      <c r="B13" s="95" t="inlineStr">
        <is>
          <t>ENC-RD-PS 00435/2026</t>
        </is>
      </c>
      <c r="C13" s="65" t="inlineStr">
        <is>
          <t>Confere</t>
        </is>
      </c>
      <c r="D13" s="96" t="n">
        <v>3</v>
      </c>
      <c r="E13" s="96" t="n">
        <v>1</v>
      </c>
      <c r="F13" s="60" t="inlineStr">
        <is>
          <t>Ocorrência 20264254647623 confirmada, causa TRANSFORMADOR. Fim na bruta é 05/04 16:10 contra 06/04 16:58 no site.</t>
        </is>
      </c>
    </row>
    <row r="14" ht="58" customHeight="1">
      <c r="A14" s="98" t="inlineStr">
        <is>
          <t>5700010186</t>
        </is>
      </c>
      <c r="B14" s="98" t="inlineStr">
        <is>
          <t>ETO-RD-GU 00384/2026</t>
        </is>
      </c>
      <c r="C14" s="70" t="inlineStr">
        <is>
          <t>Confere, com ressalva</t>
        </is>
      </c>
      <c r="D14" s="99" t="n">
        <v>2</v>
      </c>
      <c r="E14" s="99" t="n">
        <v>1</v>
      </c>
      <c r="F14" s="69" t="inlineStr">
        <is>
          <t>Ocorrência 20264197515891 confirmada, causa TRANSFORMADOR, 20 consumidores. O início na bruta é 16:33 e o site registra 14:41 — quase duas horas de diferença.</t>
        </is>
      </c>
    </row>
    <row r="15" ht="58" customHeight="1">
      <c r="A15" s="95" t="inlineStr">
        <is>
          <t>5725809122</t>
        </is>
      </c>
      <c r="B15" s="95" t="inlineStr">
        <is>
          <t>ETO-RD-PA 00187/2026</t>
        </is>
      </c>
      <c r="C15" s="65" t="inlineStr">
        <is>
          <t>Confere</t>
        </is>
      </c>
      <c r="D15" s="96" t="n">
        <v>1</v>
      </c>
      <c r="E15" s="96" t="n">
        <v>1</v>
      </c>
      <c r="F15" s="60" t="inlineStr">
        <is>
          <t>Ocorrência 20264184431275 idêntica. Causa DESLIGAMENTO SEM PROGRAMAÇÃO PRÉVIA, subcausa RD DE BT — não é falha do transformador.</t>
        </is>
      </c>
    </row>
    <row r="16" ht="58" customHeight="1">
      <c r="A16" s="98" t="inlineStr">
        <is>
          <t>5710170052</t>
        </is>
      </c>
      <c r="B16" s="98" t="inlineStr">
        <is>
          <t>ETO-RD-GU 00202/2026</t>
        </is>
      </c>
      <c r="C16" s="70" t="inlineStr">
        <is>
          <t>Confere, com ressalva</t>
        </is>
      </c>
      <c r="D16" s="99" t="n">
        <v>1</v>
      </c>
      <c r="E16" s="99" t="n">
        <v>1</v>
      </c>
      <c r="F16" s="69" t="inlineStr">
        <is>
          <t>Ocorrência 20264123921464 confirmada, causa TRANSFORMADOR. O fim na bruta é 11/02 16:07 e o site registra 12/02 18:00 — 26 h de diferença, o que muda a duração de 6 h para 32 h.</t>
        </is>
      </c>
    </row>
    <row r="17" ht="58" customHeight="1">
      <c r="A17" s="95" t="inlineStr">
        <is>
          <t>5758640152</t>
        </is>
      </c>
      <c r="B17" s="95" t="inlineStr">
        <is>
          <t>DG-RD-PO 00085/2026</t>
        </is>
      </c>
      <c r="C17" s="65" t="inlineStr">
        <is>
          <t>Confere</t>
        </is>
      </c>
      <c r="D17" s="96" t="n">
        <v>1</v>
      </c>
      <c r="E17" s="96" t="n">
        <v>1</v>
      </c>
      <c r="F17" s="60" t="inlineStr">
        <is>
          <t>Ocorrência 20264089363984 idêntica, causa TRANSFORMADOR.</t>
        </is>
      </c>
    </row>
    <row r="18" ht="58" customHeight="1">
      <c r="A18" s="105" t="inlineStr">
        <is>
          <t>5744049021</t>
        </is>
      </c>
      <c r="B18" s="105" t="inlineStr">
        <is>
          <t>ETO-RD-GU 00061/2026</t>
        </is>
      </c>
      <c r="C18" s="71" t="inlineStr">
        <is>
          <t>DIVERGE — vínculo errado</t>
        </is>
      </c>
      <c r="D18" s="106" t="n">
        <v>1</v>
      </c>
      <c r="E18" s="106" t="n">
        <v>0</v>
      </c>
      <c r="F18" s="64" t="inlineStr">
        <is>
          <t>O site casou a ocorrência 20264347866409, de 30/04, com uma SS de 13/01: 2.560 h de distância, três meses e meio. Na Crítica bruta esse é o único registro do ativo em todo o período, e não há nada em janeiro. A SS deveria constar como ausente da Crítica.</t>
        </is>
      </c>
    </row>
    <row r="19" ht="58" customHeight="1">
      <c r="A19" s="95" t="inlineStr">
        <is>
          <t>5741943048</t>
        </is>
      </c>
      <c r="B19" s="95" t="inlineStr">
        <is>
          <t>ETO-RD-GR 00052/2026</t>
        </is>
      </c>
      <c r="C19" s="58" t="inlineStr">
        <is>
          <t>Sem registro, confirmado</t>
        </is>
      </c>
      <c r="D19" s="96" t="n">
        <v>0</v>
      </c>
      <c r="E19" s="96" t="n">
        <v>0</v>
      </c>
      <c r="F19" s="60" t="inlineStr">
        <is>
          <t>Nem 5741943048 nem 5710088048 aparecem na Crítica, em mês nenhum, nem pelas chaves gêmeas. Confirma o expurgo por ausência de interrupção.</t>
        </is>
      </c>
    </row>
    <row r="20" ht="58" customHeight="1">
      <c r="A20" s="98" t="inlineStr">
        <is>
          <t>5310024091</t>
        </is>
      </c>
      <c r="B20" s="98" t="inlineStr">
        <is>
          <t>ETO-RD-DP 00011/2026</t>
        </is>
      </c>
      <c r="C20" s="70" t="inlineStr">
        <is>
          <t>Confere, com ressalva</t>
        </is>
      </c>
      <c r="D20" s="99" t="n">
        <v>2</v>
      </c>
      <c r="E20" s="99" t="n">
        <v>1</v>
      </c>
      <c r="F20" s="69" t="inlineStr">
        <is>
          <t>Ocorrência 20264062473583 confirmada, causa TRANSFORMADOR, bucha de AT. O fim na bruta é 02/01 08:36 e o site registra 03/01 10:53 — 26 h a mais.</t>
        </is>
      </c>
    </row>
    <row r="22">
      <c r="A22" s="72" t="inlineStr">
        <is>
          <t>Resumo</t>
        </is>
      </c>
    </row>
    <row r="23">
      <c r="A23" s="73" t="inlineStr">
        <is>
          <t>9 ocorrências conferem</t>
        </is>
      </c>
      <c r="C23" s="2" t="inlineStr">
        <is>
          <t>o número, a data e a causa batem entre o site e a Crítica bruta</t>
        </is>
      </c>
    </row>
    <row r="24">
      <c r="A24" s="5" t="inlineStr">
        <is>
          <t>1 precisa ser corrigida</t>
        </is>
      </c>
      <c r="C24" s="2" t="inlineStr">
        <is>
          <t>ETO-RD-DP 00528/2026 tem interrupção de transformador na janela e consta como sem registro</t>
        </is>
      </c>
    </row>
    <row r="25">
      <c r="A25" s="74" t="inlineStr">
        <is>
          <t>2 divergem</t>
        </is>
      </c>
      <c r="C25" s="2" t="inlineStr">
        <is>
          <t>ETO-RD-GR 00405/2026 usa ocorrência posterior à SS; ETO-RD-GU 00061/2026 usa ocorrência de outro mês</t>
        </is>
      </c>
    </row>
    <row r="26">
      <c r="A26" s="3" t="inlineStr">
        <is>
          <t>4 com fim de ocorrência diferente</t>
        </is>
      </c>
      <c r="C26" s="2" t="inlineStr">
        <is>
          <t>o site alonga a ocorrência em relação à bruta, em um caso de 6 h para 32 h</t>
        </is>
      </c>
    </row>
    <row r="27">
      <c r="A27" s="3" t="inlineStr">
        <is>
          <t>2 sem registro, confirmado</t>
        </is>
      </c>
      <c r="C27" s="2" t="inlineStr">
        <is>
          <t>ETO-RD-GR 00052/2026 e ETO-RD-GR 00915/2026 não aparecem em mês nenhum</t>
        </is>
      </c>
    </row>
    <row r="28">
      <c r="A28" s="3" t="inlineStr">
        <is>
          <t>1 não verificável</t>
        </is>
      </c>
      <c r="C28" s="2" t="inlineStr">
        <is>
          <t>ETO-RD-AR 01134/2026 é de julho, mês cuja Crítica bruta se perdeu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0" customWidth="1" min="1" max="1"/>
    <col width="17" customWidth="1" min="2" max="2"/>
    <col width="110" customWidth="1" min="3" max="3"/>
  </cols>
  <sheetData>
    <row r="1">
      <c r="A1" s="1" t="inlineStr">
        <is>
          <t>O que a investigação encontrou</t>
        </is>
      </c>
    </row>
    <row r="2">
      <c r="A2" s="2" t="inlineStr">
        <is>
          <t>Busca pelo número de intervenção do campo, pelo texto da observação da Crítica, por códigos vizinhos e pelo contexto do alimentador.</t>
        </is>
      </c>
    </row>
    <row r="4" ht="22" customHeight="1">
      <c r="A4" s="75" t="inlineStr">
        <is>
          <t>1. O número que o campo anota não é o da ocorrência</t>
        </is>
      </c>
    </row>
    <row r="5" ht="39" customHeight="1">
      <c r="A5" s="76" t="inlineStr">
        <is>
          <t>Reclamação OS</t>
        </is>
      </c>
      <c r="B5" s="77" t="inlineStr">
        <is>
          <t>5 de 14 batem</t>
        </is>
      </c>
      <c r="C5" s="78" t="inlineStr">
        <is>
          <t>O campo anota o número da Reclamação OS, no formato 05-&lt;número&gt;-1, e não o número da ocorrência da Crítica. Ele aparece no campo OBSERVACAO da própria ocorrência: "Intervenção gerada pelo PDA-Sigod - Reclamacao OS 05-20264060748512-1".</t>
        </is>
      </c>
    </row>
    <row r="6" ht="39" customHeight="1">
      <c r="A6" s="76" t="inlineStr">
        <is>
          <t>Onde isso ajuda</t>
        </is>
      </c>
      <c r="B6" s="77" t="inlineStr">
        <is>
          <t>4 confirmadas</t>
        </is>
      </c>
      <c r="C6" s="78" t="inlineStr">
        <is>
          <t>Procurando o número do campo dentro da observação, a ocorrência correta aparece — mesmo quando o número não existe na coluna de abertura. Foi assim que ETO-RD-DP 00528/2026, ENC-RD-PS 00435/2026, DG-RD-PO 00331/2026 e ETO-RD-DP 00011/2026 se confirmaram.</t>
        </is>
      </c>
    </row>
    <row r="7" ht="30" customHeight="1">
      <c r="A7" s="76" t="inlineStr">
        <is>
          <t>Onde não resolve</t>
        </is>
      </c>
      <c r="B7" s="77" t="inlineStr">
        <is>
          <t>5 números</t>
        </is>
      </c>
      <c r="C7" s="78" t="inlineStr">
        <is>
          <t>Cinco números anotados pelo campo não existem em lugar nenhum: nem na Crítica, nem no TMAE, nem nas observações. Possivelmente são de sistema que não temos extraído.</t>
        </is>
      </c>
    </row>
    <row r="9" ht="22" customHeight="1">
      <c r="A9" s="79" t="inlineStr">
        <is>
          <t>2. A Crítica grava código de ativo errado com frequência</t>
        </is>
      </c>
    </row>
    <row r="10" ht="30" customHeight="1">
      <c r="A10" s="76" t="inlineStr">
        <is>
          <t>"CODIGO INVALIDO" na observação</t>
        </is>
      </c>
      <c r="B10" s="77" t="inlineStr">
        <is>
          <t>1.420 de 14.030</t>
        </is>
      </c>
      <c r="C10" s="78" t="inlineStr">
        <is>
          <t>Em janeiro, 10% das ocorrências trazem a marca CODIGO INVALIDO na observação, apontando um código que o sistema não reconheceu. É sintoma de cadastro divergente entre o campo e a base.</t>
        </is>
      </c>
    </row>
    <row r="11" ht="30" customHeight="1">
      <c r="A11" s="76" t="inlineStr">
        <is>
          <t>Caso concreto</t>
        </is>
      </c>
      <c r="B11" s="77" t="inlineStr">
        <is>
          <t>ETO-RD-DP 00011/2026</t>
        </is>
      </c>
      <c r="C11" s="78" t="inlineStr">
        <is>
          <t>A ocorrência está gravada no ativo 5310024091, mas a observação diz "CODIGO INVALIDO:TR/5710024091" — prefixo 53 contra 57 para o mesmo equipamento. Quem procurar pelo código do campo não acha.</t>
        </is>
      </c>
    </row>
    <row r="12" ht="30" customHeight="1">
      <c r="A12" s="76" t="inlineStr">
        <is>
          <t>Outro</t>
        </is>
      </c>
      <c r="B12" s="77" t="inlineStr">
        <is>
          <t>ETO-RD-DP 00528/2026</t>
        </is>
      </c>
      <c r="C12" s="78" t="inlineStr">
        <is>
          <t>Gravada em 5746834038 com observação "CODIGO INVALIDO:TR/5746833038" — um dígito de diferença.</t>
        </is>
      </c>
    </row>
    <row r="14" ht="22" customHeight="1">
      <c r="A14" s="80" t="inlineStr">
        <is>
          <t>3. As duas ausências estão dentro de tempestades</t>
        </is>
      </c>
    </row>
    <row r="15" ht="52" customHeight="1">
      <c r="A15" s="76" t="inlineStr">
        <is>
          <t>ETO-RD-GU 00061/2026</t>
        </is>
      </c>
      <c r="B15" s="77" t="inlineStr">
        <is>
          <t>Paraná, 13/01</t>
        </is>
      </c>
      <c r="C15" s="78" t="inlineStr">
        <is>
          <t>Não há ocorrência neste transformador. Mas no mesmo alimentador e localidade, entre 12 e 13/01, houve 33 ocorrências, 21 delas em transformador e 13 com descarga atmosférica. O trafo de código imediatamente seguinte, 5744050021, tem ocorrência em 13/01 02:09 com a observação "CHAVE TRAFO 5744050021 ENCONTRAVA SE OPERADA". Ausência de registro aqui é improvável como fato físico.</t>
        </is>
      </c>
    </row>
    <row r="16" ht="39" customHeight="1">
      <c r="A16" s="76" t="inlineStr">
        <is>
          <t>ETO-RD-GR 00052/2026</t>
        </is>
      </c>
      <c r="B16" s="77" t="inlineStr">
        <is>
          <t>Fortaleza do Tabocão, 09/01</t>
        </is>
      </c>
      <c r="C16" s="78" t="inlineStr">
        <is>
          <t>Também sem ocorrência própria, por nenhum dos dois códigos nem pelas gêmeas. No mesmo alimentador, entre 08 e 10/01, houve 7 ocorrências, 5 em transformador e 5 com descarga atmosférica. A própria SS registra confusão de cadastro: "trafo queimado 5710088048, porém em campo está o trafo 5741943048".</t>
        </is>
      </c>
    </row>
    <row r="17" ht="30" customHeight="1">
      <c r="A17" s="76" t="inlineStr">
        <is>
          <t>O que isso sugere</t>
        </is>
      </c>
      <c r="B17" s="77" t="inlineStr">
        <is>
          <t>—</t>
        </is>
      </c>
      <c r="C17" s="78" t="inlineStr">
        <is>
          <t>Nos dois casos o evento elétrico existiu e está documentado na região. O que falta é o vínculo entre a ocorrência e o ativo certo. São candidatos a revisão de cadastro, não a expurgo por inexistência de falha.</t>
        </is>
      </c>
    </row>
    <row r="19" ht="22" customHeight="1">
      <c r="A19" s="81" t="inlineStr">
        <is>
          <t>4. Correções ao que eu havia dito antes</t>
        </is>
      </c>
    </row>
    <row r="20" ht="39" customHeight="1">
      <c r="A20" s="76" t="inlineStr">
        <is>
          <t>Duração das ocorrências</t>
        </is>
      </c>
      <c r="B20" s="77" t="inlineStr">
        <is>
          <t>sem divergência</t>
        </is>
      </c>
      <c r="C20" s="78" t="inlineStr">
        <is>
          <t>Eu havia apontado que o site alongava a duração em quatro casos. Era erro meu: eu comparava com o fim do primeiro passo, não com o fim da ocorrência. Conferindo passo a passo, as durações do site conferem com a bruta.</t>
        </is>
      </c>
    </row>
    <row r="21" ht="30" customHeight="1">
      <c r="A21" s="76" t="inlineStr">
        <is>
          <t>ETO-RD-GU 00202/2026</t>
        </is>
      </c>
      <c r="B21" s="77" t="inlineStr">
        <is>
          <t>6 h era errado</t>
        </is>
      </c>
      <c r="C21" s="78" t="inlineStr">
        <is>
          <t>A ocorrência tem 2 passos e termina em 12/02 18:00. As 32 h do site estão certas.</t>
        </is>
      </c>
    </row>
  </sheetData>
  <mergeCells count="4">
    <mergeCell ref="A4:C4"/>
    <mergeCell ref="A14:C14"/>
    <mergeCell ref="A19:C19"/>
    <mergeCell ref="A9:C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
  <sheetViews>
    <sheetView showGridLines="0" workbookViewId="0">
      <pane ySplit="4" topLeftCell="A5" activePane="bottomLeft" state="frozen"/>
      <selection pane="bottomLeft" activeCell="A1" sqref="A1"/>
    </sheetView>
  </sheetViews>
  <sheetFormatPr baseColWidth="8" defaultRowHeight="15"/>
  <cols>
    <col width="16" customWidth="1" min="1" max="1"/>
    <col width="21" customWidth="1" min="2" max="2"/>
    <col width="7" customWidth="1" min="3" max="3"/>
    <col width="24" customWidth="1" min="4" max="4"/>
    <col width="30" customWidth="1" min="5" max="5"/>
    <col width="24" customWidth="1" min="6" max="6"/>
    <col width="10" customWidth="1" min="7" max="7"/>
    <col width="11" customWidth="1" min="8" max="8"/>
    <col width="7" customWidth="1" min="9" max="9"/>
    <col width="18" customWidth="1" min="10" max="10"/>
    <col width="16" customWidth="1" min="11" max="11"/>
  </cols>
  <sheetData>
    <row r="1" ht="24" customHeight="1">
      <c r="A1" s="1" t="inlineStr">
        <is>
          <t>O que a Crítica registrou × o que o campo encontrou</t>
        </is>
      </c>
    </row>
    <row r="2">
      <c r="A2" s="2" t="inlineStr">
        <is>
          <t>Linha destacada quando as duas fontes não apontam a mesma coisa.</t>
        </is>
      </c>
    </row>
    <row r="4" ht="30" customHeight="1">
      <c r="A4" s="15" t="inlineStr">
        <is>
          <t>Transformador</t>
        </is>
      </c>
      <c r="B4" s="16" t="inlineStr">
        <is>
          <t>SS</t>
        </is>
      </c>
      <c r="C4" s="16" t="inlineStr">
        <is>
          <t>Mês</t>
        </is>
      </c>
      <c r="D4" s="16" t="inlineStr">
        <is>
          <t>Crítica — causa</t>
        </is>
      </c>
      <c r="E4" s="16" t="inlineStr">
        <is>
          <t>Crítica — subcausa</t>
        </is>
      </c>
      <c r="F4" s="16" t="inlineStr">
        <is>
          <t>Campo — provável motivo</t>
        </is>
      </c>
      <c r="G4" s="16" t="inlineStr">
        <is>
          <t>Batem?</t>
        </is>
      </c>
      <c r="H4" s="16" t="inlineStr">
        <is>
          <t>Para-raios</t>
        </is>
      </c>
      <c r="I4" s="16" t="inlineStr">
        <is>
          <t>Elo</t>
        </is>
      </c>
      <c r="J4" s="16" t="inlineStr">
        <is>
          <t>Aterramento Ω</t>
        </is>
      </c>
      <c r="K4" s="16" t="inlineStr">
        <is>
          <t>Potência</t>
        </is>
      </c>
    </row>
    <row r="5" ht="30" customHeight="1">
      <c r="A5" s="32" t="inlineStr">
        <is>
          <t>5310024091</t>
        </is>
      </c>
      <c r="B5" s="32" t="inlineStr">
        <is>
          <t>ETO-RD-DP 00011/2026</t>
        </is>
      </c>
      <c r="C5" s="33" t="inlineStr">
        <is>
          <t>jan</t>
        </is>
      </c>
      <c r="D5" s="34" t="inlineStr">
        <is>
          <t>TRANSFORMADOR</t>
        </is>
      </c>
      <c r="E5" s="34" t="inlineStr">
        <is>
          <t>FALHA BUCHA DE AT</t>
        </is>
      </c>
      <c r="F5" s="34" t="inlineStr">
        <is>
          <t>NÃO IDENTIFICADO</t>
        </is>
      </c>
      <c r="G5" s="35" t="inlineStr">
        <is>
          <t>não</t>
        </is>
      </c>
      <c r="H5" s="33" t="inlineStr">
        <is>
          <t>Sim</t>
        </is>
      </c>
      <c r="I5" s="33" t="inlineStr">
        <is>
          <t>2H</t>
        </is>
      </c>
      <c r="J5" s="32" t="inlineStr">
        <is>
          <t>8,32 · 2,28 · 2,64</t>
        </is>
      </c>
      <c r="K5" s="36" t="inlineStr">
        <is>
          <t>150 → 75 kVA</t>
        </is>
      </c>
    </row>
    <row r="6" ht="30" customHeight="1">
      <c r="A6" s="37" t="inlineStr">
        <is>
          <t>5741943048</t>
        </is>
      </c>
      <c r="B6" s="37" t="inlineStr">
        <is>
          <t>ETO-RD-GR 00052/2026</t>
        </is>
      </c>
      <c r="C6" s="38" t="inlineStr">
        <is>
          <t>jan</t>
        </is>
      </c>
      <c r="D6" s="39" t="inlineStr">
        <is>
          <t>—</t>
        </is>
      </c>
      <c r="E6" s="39" t="inlineStr">
        <is>
          <t>sem interrupção registrada</t>
        </is>
      </c>
      <c r="F6" s="39" t="inlineStr">
        <is>
          <t>DESCARGA ATMOSFERICA</t>
        </is>
      </c>
      <c r="G6" s="38" t="inlineStr">
        <is>
          <t>—</t>
        </is>
      </c>
      <c r="H6" s="38" t="inlineStr">
        <is>
          <t>Sim</t>
        </is>
      </c>
      <c r="I6" s="38" t="inlineStr">
        <is>
          <t>3H</t>
        </is>
      </c>
      <c r="J6" s="37" t="inlineStr">
        <is>
          <t>11,57 · 7,98 · 6,51</t>
        </is>
      </c>
      <c r="K6" s="40" t="inlineStr">
        <is>
          <t>112.5 → 150 kVA</t>
        </is>
      </c>
    </row>
    <row r="7" ht="30" customHeight="1">
      <c r="A7" s="41" t="inlineStr">
        <is>
          <t>5744049021</t>
        </is>
      </c>
      <c r="B7" s="41" t="inlineStr">
        <is>
          <t>ETO-RD-GU 00061/2026</t>
        </is>
      </c>
      <c r="C7" s="42" t="inlineStr">
        <is>
          <t>jan</t>
        </is>
      </c>
      <c r="D7" s="43" t="inlineStr">
        <is>
          <t>MEIO AMBIENTE</t>
        </is>
      </c>
      <c r="E7" s="43" t="inlineStr">
        <is>
          <t>DESCARGA ATMOSFERICA</t>
        </is>
      </c>
      <c r="F7" s="43" t="inlineStr">
        <is>
          <t>DESCARGA ATMOSFERICA</t>
        </is>
      </c>
      <c r="G7" s="44" t="inlineStr">
        <is>
          <t>sim</t>
        </is>
      </c>
      <c r="H7" s="42" t="inlineStr">
        <is>
          <t>Sim</t>
        </is>
      </c>
      <c r="I7" s="42" t="inlineStr">
        <is>
          <t>3H</t>
        </is>
      </c>
      <c r="J7" s="41" t="inlineStr">
        <is>
          <t>20,9 · 20,84 · 20,77</t>
        </is>
      </c>
      <c r="K7" s="41" t="inlineStr">
        <is>
          <t>150 → 150 kVA</t>
        </is>
      </c>
    </row>
    <row r="8" ht="30" customHeight="1">
      <c r="A8" s="32" t="inlineStr">
        <is>
          <t>5758640152</t>
        </is>
      </c>
      <c r="B8" s="32" t="inlineStr">
        <is>
          <t>DG-RD-PO 00085/2026</t>
        </is>
      </c>
      <c r="C8" s="33" t="inlineStr">
        <is>
          <t>jan</t>
        </is>
      </c>
      <c r="D8" s="34" t="inlineStr">
        <is>
          <t>TRANSFORMADOR</t>
        </is>
      </c>
      <c r="E8" s="34" t="inlineStr">
        <is>
          <t>QUEIMADO POR DESCARGA ATMOSFERICA</t>
        </is>
      </c>
      <c r="F8" s="34" t="inlineStr">
        <is>
          <t>NÃO IDENTIFICADO</t>
        </is>
      </c>
      <c r="G8" s="35" t="inlineStr">
        <is>
          <t>não</t>
        </is>
      </c>
      <c r="H8" s="33" t="inlineStr">
        <is>
          <t>Sim</t>
        </is>
      </c>
      <c r="I8" s="33" t="inlineStr">
        <is>
          <t>5H</t>
        </is>
      </c>
      <c r="J8" s="32" t="inlineStr">
        <is>
          <t>23,2 · 24,9 · 26,7</t>
        </is>
      </c>
      <c r="K8" s="45" t="inlineStr">
        <is>
          <t>112.5 → 150 kVA</t>
        </is>
      </c>
    </row>
    <row r="9" ht="30" customHeight="1">
      <c r="A9" s="41" t="inlineStr">
        <is>
          <t>5710170052</t>
        </is>
      </c>
      <c r="B9" s="41" t="inlineStr">
        <is>
          <t>ETO-RD-GU 00202/2026</t>
        </is>
      </c>
      <c r="C9" s="42" t="inlineStr">
        <is>
          <t>fev</t>
        </is>
      </c>
      <c r="D9" s="43" t="inlineStr">
        <is>
          <t>TRANSFORMADOR</t>
        </is>
      </c>
      <c r="E9" s="43" t="inlineStr">
        <is>
          <t>QUEIMADO POR DESCARGA ATMOSFERICA</t>
        </is>
      </c>
      <c r="F9" s="43" t="inlineStr">
        <is>
          <t>DESCARGA ATMOSFERICA</t>
        </is>
      </c>
      <c r="G9" s="44" t="inlineStr">
        <is>
          <t>sim</t>
        </is>
      </c>
      <c r="H9" s="42" t="inlineStr">
        <is>
          <t>Sim</t>
        </is>
      </c>
      <c r="I9" s="42" t="inlineStr">
        <is>
          <t>0</t>
        </is>
      </c>
      <c r="J9" s="41" t="inlineStr">
        <is>
          <t>—</t>
        </is>
      </c>
      <c r="K9" s="41" t="inlineStr">
        <is>
          <t>75 → 75 kVA</t>
        </is>
      </c>
    </row>
    <row r="10" ht="30" customHeight="1">
      <c r="A10" s="32" t="inlineStr">
        <is>
          <t>5725809122</t>
        </is>
      </c>
      <c r="B10" s="32" t="inlineStr">
        <is>
          <t>ETO-RD-PA 00187/2026</t>
        </is>
      </c>
      <c r="C10" s="33" t="inlineStr">
        <is>
          <t>mar</t>
        </is>
      </c>
      <c r="D10" s="34" t="inlineStr">
        <is>
          <t>DESLIGAMENTO SEM PROGRAMACAO PREVIA</t>
        </is>
      </c>
      <c r="E10" s="34" t="inlineStr">
        <is>
          <t>RD DE BT</t>
        </is>
      </c>
      <c r="F10" s="34" t="inlineStr">
        <is>
          <t>NÃO IDENTIFICADO</t>
        </is>
      </c>
      <c r="G10" s="35" t="inlineStr">
        <is>
          <t>não</t>
        </is>
      </c>
      <c r="H10" s="33" t="inlineStr">
        <is>
          <t>Não</t>
        </is>
      </c>
      <c r="I10" s="33" t="inlineStr">
        <is>
          <t>6K</t>
        </is>
      </c>
      <c r="J10" s="32" t="inlineStr">
        <is>
          <t>—</t>
        </is>
      </c>
      <c r="K10" s="45" t="inlineStr">
        <is>
          <t>112.5 → 150 kVA</t>
        </is>
      </c>
    </row>
    <row r="11" ht="30" customHeight="1">
      <c r="A11" s="41" t="inlineStr">
        <is>
          <t>5700010186</t>
        </is>
      </c>
      <c r="B11" s="41" t="inlineStr">
        <is>
          <t>ETO-RD-GU 00384/2026</t>
        </is>
      </c>
      <c r="C11" s="42" t="inlineStr">
        <is>
          <t>mar</t>
        </is>
      </c>
      <c r="D11" s="43" t="inlineStr">
        <is>
          <t>TRANSFORMADOR</t>
        </is>
      </c>
      <c r="E11" s="43" t="inlineStr">
        <is>
          <t>QUEIMADO POR DESCARGA ATMOSFERICA</t>
        </is>
      </c>
      <c r="F11" s="43" t="inlineStr">
        <is>
          <t>DESCARGA ATMOSFERICA</t>
        </is>
      </c>
      <c r="G11" s="44" t="inlineStr">
        <is>
          <t>sim</t>
        </is>
      </c>
      <c r="H11" s="42" t="inlineStr">
        <is>
          <t>Sim</t>
        </is>
      </c>
      <c r="I11" s="42" t="inlineStr">
        <is>
          <t>3H</t>
        </is>
      </c>
      <c r="J11" s="41" t="inlineStr">
        <is>
          <t>19,1 · 18,22 · 20,61</t>
        </is>
      </c>
      <c r="K11" s="41" t="inlineStr">
        <is>
          <t>112.5 → 112.5 kVA</t>
        </is>
      </c>
    </row>
    <row r="12" ht="30" customHeight="1">
      <c r="A12" s="37" t="inlineStr">
        <is>
          <t>5727671110</t>
        </is>
      </c>
      <c r="B12" s="37" t="inlineStr">
        <is>
          <t>ENC-RD-PS 00435/2026</t>
        </is>
      </c>
      <c r="C12" s="38" t="inlineStr">
        <is>
          <t>abr</t>
        </is>
      </c>
      <c r="D12" s="39" t="inlineStr">
        <is>
          <t>TRANSFORMADOR</t>
        </is>
      </c>
      <c r="E12" s="39" t="inlineStr">
        <is>
          <t>QUEIMADO POR DESCARGA ATMOSFERICA</t>
        </is>
      </c>
      <c r="F12" s="39" t="inlineStr">
        <is>
          <t>DESCARGA ATMOSFERICA</t>
        </is>
      </c>
      <c r="G12" s="46" t="inlineStr">
        <is>
          <t>sim</t>
        </is>
      </c>
      <c r="H12" s="38" t="inlineStr">
        <is>
          <t>Sim</t>
        </is>
      </c>
      <c r="I12" s="38" t="inlineStr">
        <is>
          <t>2H</t>
        </is>
      </c>
      <c r="J12" s="37" t="inlineStr">
        <is>
          <t>—</t>
        </is>
      </c>
      <c r="K12" s="47" t="inlineStr">
        <is>
          <t>112.5 → 75 kVA</t>
        </is>
      </c>
    </row>
    <row r="13" ht="30" customHeight="1">
      <c r="A13" s="41" t="inlineStr">
        <is>
          <t>5700001112</t>
        </is>
      </c>
      <c r="B13" s="41" t="inlineStr">
        <is>
          <t>ETO-RD-GR 00405/2026</t>
        </is>
      </c>
      <c r="C13" s="42" t="inlineStr">
        <is>
          <t>abr</t>
        </is>
      </c>
      <c r="D13" s="43" t="inlineStr">
        <is>
          <t>TRANSFORMADOR</t>
        </is>
      </c>
      <c r="E13" s="43" t="inlineStr">
        <is>
          <t>FALHA BUCHA DE BT</t>
        </is>
      </c>
      <c r="F13" s="43" t="inlineStr">
        <is>
          <t>VAZAMENTO DE OLEO</t>
        </is>
      </c>
      <c r="G13" s="44" t="inlineStr">
        <is>
          <t>sim</t>
        </is>
      </c>
      <c r="H13" s="42" t="inlineStr">
        <is>
          <t>Sim</t>
        </is>
      </c>
      <c r="I13" s="42" t="inlineStr">
        <is>
          <t>2H</t>
        </is>
      </c>
      <c r="J13" s="41" t="inlineStr">
        <is>
          <t>18,15 · 16,29 · 12,61</t>
        </is>
      </c>
      <c r="K13" s="41" t="inlineStr">
        <is>
          <t>112.5 → 112.5 kVA</t>
        </is>
      </c>
    </row>
    <row r="14" ht="30" customHeight="1">
      <c r="A14" s="32" t="inlineStr">
        <is>
          <t>5737010110</t>
        </is>
      </c>
      <c r="B14" s="32" t="inlineStr">
        <is>
          <t>DG-RD-PO 00331/2026</t>
        </is>
      </c>
      <c r="C14" s="33" t="inlineStr">
        <is>
          <t>abr</t>
        </is>
      </c>
      <c r="D14" s="34" t="inlineStr">
        <is>
          <t>TRANSFORMADOR</t>
        </is>
      </c>
      <c r="E14" s="34" t="inlineStr">
        <is>
          <t>QUEIMADO POR DESCARGA ATMOSFERICA</t>
        </is>
      </c>
      <c r="F14" s="34" t="inlineStr">
        <is>
          <t>NÃO IDENTIFICADO</t>
        </is>
      </c>
      <c r="G14" s="35" t="inlineStr">
        <is>
          <t>não</t>
        </is>
      </c>
      <c r="H14" s="33" t="inlineStr">
        <is>
          <t>Sim</t>
        </is>
      </c>
      <c r="I14" s="33" t="inlineStr">
        <is>
          <t>3H</t>
        </is>
      </c>
      <c r="J14" s="32" t="inlineStr">
        <is>
          <t>12,7 · 2,94 · 12,94</t>
        </is>
      </c>
      <c r="K14" s="36" t="inlineStr">
        <is>
          <t>112.5 → 75 kVA</t>
        </is>
      </c>
    </row>
    <row r="15" ht="30" customHeight="1">
      <c r="A15" s="41" t="inlineStr">
        <is>
          <t>5731658122</t>
        </is>
      </c>
      <c r="B15" s="41" t="inlineStr">
        <is>
          <t>DOLP-RD-PA 00493/2026</t>
        </is>
      </c>
      <c r="C15" s="42" t="inlineStr">
        <is>
          <t>abr</t>
        </is>
      </c>
      <c r="D15" s="43" t="inlineStr">
        <is>
          <t>DESLIGAMENTO SEM PROGRAMACAO PREVIA</t>
        </is>
      </c>
      <c r="E15" s="43" t="inlineStr">
        <is>
          <t>RD DE BT</t>
        </is>
      </c>
      <c r="F15" s="43" t="inlineStr">
        <is>
          <t>SOBRECARGA</t>
        </is>
      </c>
      <c r="G15" s="44" t="inlineStr">
        <is>
          <t>sim</t>
        </is>
      </c>
      <c r="H15" s="42" t="inlineStr">
        <is>
          <t>Sim</t>
        </is>
      </c>
      <c r="I15" s="42" t="inlineStr">
        <is>
          <t>8 k</t>
        </is>
      </c>
      <c r="J15" s="41" t="inlineStr">
        <is>
          <t>—</t>
        </is>
      </c>
      <c r="K15" s="41" t="inlineStr">
        <is>
          <t>150 → 150 kVA</t>
        </is>
      </c>
    </row>
    <row r="16" ht="30" customHeight="1">
      <c r="A16" s="32" t="inlineStr">
        <is>
          <t>5700177250</t>
        </is>
      </c>
      <c r="B16" s="32" t="inlineStr">
        <is>
          <t>DG-RD-PO 00400/2026</t>
        </is>
      </c>
      <c r="C16" s="33" t="inlineStr">
        <is>
          <t>jun</t>
        </is>
      </c>
      <c r="D16" s="34" t="inlineStr">
        <is>
          <t>TRANSFORMADOR</t>
        </is>
      </c>
      <c r="E16" s="34" t="inlineStr">
        <is>
          <t>VAZAMENTO DE OLEO / TANQUE DETERIORADO</t>
        </is>
      </c>
      <c r="F16" s="34" t="inlineStr">
        <is>
          <t>NÃO IDENTIFICADO</t>
        </is>
      </c>
      <c r="G16" s="35" t="inlineStr">
        <is>
          <t>não</t>
        </is>
      </c>
      <c r="H16" s="33" t="inlineStr">
        <is>
          <t>Sim</t>
        </is>
      </c>
      <c r="I16" s="33" t="inlineStr">
        <is>
          <t>2h</t>
        </is>
      </c>
      <c r="J16" s="32" t="inlineStr">
        <is>
          <t>14,9 · 11,5 · 12,4</t>
        </is>
      </c>
      <c r="K16" s="32" t="inlineStr">
        <is>
          <t>45 → 45 kVA</t>
        </is>
      </c>
    </row>
    <row r="17" ht="30" customHeight="1">
      <c r="A17" s="41" t="inlineStr">
        <is>
          <t>5710016016</t>
        </is>
      </c>
      <c r="B17" s="41" t="inlineStr">
        <is>
          <t>ETO-RD-AR 01134/2026</t>
        </is>
      </c>
      <c r="C17" s="42" t="inlineStr">
        <is>
          <t>jul</t>
        </is>
      </c>
      <c r="D17" s="43" t="inlineStr">
        <is>
          <t>CAUSA NAO IDENTIFICADA</t>
        </is>
      </c>
      <c r="E17" s="43" t="inlineStr">
        <is>
          <t>CAUSA NAO IDENTIFICADA - ESPECIFICAR</t>
        </is>
      </c>
      <c r="F17" s="43" t="inlineStr">
        <is>
          <t>SOBRECARGA</t>
        </is>
      </c>
      <c r="G17" s="44" t="inlineStr">
        <is>
          <t>sim</t>
        </is>
      </c>
      <c r="H17" s="42" t="inlineStr">
        <is>
          <t>Sim</t>
        </is>
      </c>
      <c r="I17" s="42" t="inlineStr">
        <is>
          <t>6K</t>
        </is>
      </c>
      <c r="J17" s="41" t="inlineStr">
        <is>
          <t>1848 · 15,7 · 1321</t>
        </is>
      </c>
      <c r="K17" s="41" t="inlineStr">
        <is>
          <t>150 → 150 kVA</t>
        </is>
      </c>
    </row>
    <row r="18" ht="30" customHeight="1">
      <c r="A18" s="37" t="inlineStr">
        <is>
          <t>5700577150</t>
        </is>
      </c>
      <c r="B18" s="37" t="inlineStr">
        <is>
          <t>ETO-RD-DP 00501/2026</t>
        </is>
      </c>
      <c r="C18" s="38" t="inlineStr">
        <is>
          <t>ago</t>
        </is>
      </c>
      <c r="D18" s="39" t="inlineStr">
        <is>
          <t>—</t>
        </is>
      </c>
      <c r="E18" s="39" t="inlineStr">
        <is>
          <t>sem interrupção registrada</t>
        </is>
      </c>
      <c r="F18" s="39" t="inlineStr">
        <is>
          <t>SOBRECARGA</t>
        </is>
      </c>
      <c r="G18" s="38" t="inlineStr">
        <is>
          <t>—</t>
        </is>
      </c>
      <c r="H18" s="38" t="inlineStr">
        <is>
          <t>Sim</t>
        </is>
      </c>
      <c r="I18" s="38" t="inlineStr">
        <is>
          <t>3H</t>
        </is>
      </c>
      <c r="J18" s="37" t="inlineStr">
        <is>
          <t>1 · 1 · 1</t>
        </is>
      </c>
      <c r="K18" s="40" t="inlineStr">
        <is>
          <t>75 → 150 kVA</t>
        </is>
      </c>
    </row>
    <row r="19" ht="30" customHeight="1">
      <c r="A19" s="41" t="inlineStr">
        <is>
          <t>5746834038</t>
        </is>
      </c>
      <c r="B19" s="41" t="inlineStr">
        <is>
          <t>ETO-RD-DP 00528/2026</t>
        </is>
      </c>
      <c r="C19" s="42" t="inlineStr">
        <is>
          <t>ago</t>
        </is>
      </c>
      <c r="D19" s="43" t="inlineStr">
        <is>
          <t>—</t>
        </is>
      </c>
      <c r="E19" s="43" t="inlineStr">
        <is>
          <t>sem interrupção registrada</t>
        </is>
      </c>
      <c r="F19" s="43" t="inlineStr">
        <is>
          <t>NÃO IDENTIFICADO</t>
        </is>
      </c>
      <c r="G19" s="42" t="inlineStr">
        <is>
          <t>—</t>
        </is>
      </c>
      <c r="H19" s="42" t="inlineStr">
        <is>
          <t>Sim</t>
        </is>
      </c>
      <c r="I19" s="42" t="inlineStr">
        <is>
          <t>3H</t>
        </is>
      </c>
      <c r="J19" s="41" t="inlineStr">
        <is>
          <t>1 · 1 · 1</t>
        </is>
      </c>
      <c r="K19" s="48" t="inlineStr">
        <is>
          <t>112.5 → 150 kVA</t>
        </is>
      </c>
    </row>
    <row r="20" ht="30" customHeight="1">
      <c r="A20" s="37" t="inlineStr">
        <is>
          <t>5700239104</t>
        </is>
      </c>
      <c r="B20" s="37" t="inlineStr">
        <is>
          <t>ETO-RD-GR 00915/2026</t>
        </is>
      </c>
      <c r="C20" s="38" t="inlineStr"/>
      <c r="D20" s="39" t="inlineStr">
        <is>
          <t>—</t>
        </is>
      </c>
      <c r="E20" s="39" t="inlineStr">
        <is>
          <t>sem interrupção registrada</t>
        </is>
      </c>
      <c r="F20" s="39" t="inlineStr">
        <is>
          <t>não preenchido</t>
        </is>
      </c>
      <c r="G20" s="38" t="inlineStr">
        <is>
          <t>—</t>
        </is>
      </c>
      <c r="H20" s="38" t="inlineStr">
        <is>
          <t>—</t>
        </is>
      </c>
      <c r="I20" s="38" t="inlineStr">
        <is>
          <t>—</t>
        </is>
      </c>
      <c r="J20" s="37" t="inlineStr">
        <is>
          <t>—</t>
        </is>
      </c>
      <c r="K20" s="37" t="inlineStr">
        <is>
          <t>—</t>
        </is>
      </c>
    </row>
  </sheetData>
  <autoFilter ref="A4:K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1" customWidth="1" min="2" max="2"/>
    <col width="18" customWidth="1" min="3" max="3"/>
    <col width="9" customWidth="1" min="4" max="4"/>
    <col width="16" customWidth="1" min="5" max="5"/>
    <col width="16" customWidth="1" min="6" max="6"/>
    <col width="9" customWidth="1" min="7" max="7"/>
    <col width="16" customWidth="1" min="8" max="8"/>
    <col width="16" customWidth="1" min="9" max="9"/>
    <col width="16" customWidth="1" min="10" max="10"/>
    <col width="10" customWidth="1" min="11" max="11"/>
    <col width="10" customWidth="1" min="12" max="12"/>
    <col width="14" customWidth="1" min="13" max="13"/>
    <col width="14" customWidth="1" min="14" max="14"/>
    <col width="15" customWidth="1" min="15" max="15"/>
    <col width="15" customWidth="1" min="16" max="16"/>
    <col width="60" customWidth="1" min="17" max="17"/>
    <col width="60" customWidth="1" min="18" max="18"/>
  </cols>
  <sheetData>
    <row r="1" ht="24" customHeight="1">
      <c r="A1" s="1" t="inlineStr">
        <is>
          <t>Ficha por transformador</t>
        </is>
      </c>
    </row>
    <row r="2">
      <c r="A2" s="2" t="inlineStr">
        <is>
          <t>Cronologia completa, equipamento retirado e instalado, e os textos da SS e da OS.</t>
        </is>
      </c>
    </row>
    <row r="4" ht="30" customHeight="1">
      <c r="A4" s="15" t="inlineStr">
        <is>
          <t>Transformador</t>
        </is>
      </c>
      <c r="B4" s="16" t="inlineStr">
        <is>
          <t>SS</t>
        </is>
      </c>
      <c r="C4" s="16" t="inlineStr">
        <is>
          <t>Local</t>
        </is>
      </c>
      <c r="D4" s="16" t="inlineStr">
        <is>
          <t>Clientes</t>
        </is>
      </c>
      <c r="E4" s="16" t="inlineStr">
        <is>
          <t>Interrupção início</t>
        </is>
      </c>
      <c r="F4" s="16" t="inlineStr">
        <is>
          <t>Interrupção fim</t>
        </is>
      </c>
      <c r="G4" s="16" t="inlineStr">
        <is>
          <t>Dur. (h)</t>
        </is>
      </c>
      <c r="H4" s="16" t="inlineStr">
        <is>
          <t>SS aberta</t>
        </is>
      </c>
      <c r="I4" s="16" t="inlineStr">
        <is>
          <t>Prazo limite</t>
        </is>
      </c>
      <c r="J4" s="16" t="inlineStr">
        <is>
          <t>SS terminada</t>
        </is>
      </c>
      <c r="K4" s="16" t="inlineStr">
        <is>
          <t>Atend. (h)</t>
        </is>
      </c>
      <c r="L4" s="16" t="inlineStr">
        <is>
          <t>Folga (h)</t>
        </is>
      </c>
      <c r="M4" s="16" t="inlineStr">
        <is>
          <t>Série retirada</t>
        </is>
      </c>
      <c r="N4" s="16" t="inlineStr">
        <is>
          <t>Série instalada</t>
        </is>
      </c>
      <c r="O4" s="16" t="inlineStr">
        <is>
          <t>Fabricante ret.</t>
        </is>
      </c>
      <c r="P4" s="16" t="inlineStr">
        <is>
          <t>Fabricante inst.</t>
        </is>
      </c>
      <c r="Q4" s="16" t="inlineStr">
        <is>
          <t>Texto da SS</t>
        </is>
      </c>
      <c r="R4" s="16" t="inlineStr">
        <is>
          <t>Texto da OS</t>
        </is>
      </c>
    </row>
    <row r="5" ht="46" customHeight="1">
      <c r="A5" s="49" t="inlineStr">
        <is>
          <t>5310024091</t>
        </is>
      </c>
      <c r="B5" s="49" t="inlineStr">
        <is>
          <t>ETO-RD-DP 00011/2026</t>
        </is>
      </c>
      <c r="C5" s="49" t="inlineStr">
        <is>
          <t>ALMAS</t>
        </is>
      </c>
      <c r="D5" s="49" t="inlineStr">
        <is>
          <t>1</t>
        </is>
      </c>
      <c r="E5" s="49" t="inlineStr">
        <is>
          <t>01/01/2026 16:35</t>
        </is>
      </c>
      <c r="F5" s="49" t="inlineStr">
        <is>
          <t>03/01/2026 10:53</t>
        </is>
      </c>
      <c r="G5" s="49" t="n">
        <v>42.3</v>
      </c>
      <c r="H5" s="49" t="inlineStr">
        <is>
          <t>02/01/2026 11:24</t>
        </is>
      </c>
      <c r="I5" s="49" t="inlineStr">
        <is>
          <t>05/01/2026 11:24</t>
        </is>
      </c>
      <c r="J5" s="49" t="inlineStr">
        <is>
          <t>06/01/2026 15:23</t>
        </is>
      </c>
      <c r="K5" s="49" t="n">
        <v>100</v>
      </c>
      <c r="L5" s="50" t="n">
        <v>-28</v>
      </c>
      <c r="M5" s="49" t="inlineStr">
        <is>
          <t>456330</t>
        </is>
      </c>
      <c r="N5" s="49" t="inlineStr">
        <is>
          <t>1819185</t>
        </is>
      </c>
      <c r="O5" s="49" t="inlineStr">
        <is>
          <t>TRAEL</t>
        </is>
      </c>
      <c r="P5" s="49" t="inlineStr">
        <is>
          <t>ROMAGNOLE</t>
        </is>
      </c>
      <c r="Q5" s="51" t="inlineStr">
        <is>
          <t>SEGUE SS DE TRAFO QUEIMADO NA RDR DE ALMAS, TRAFO DE 150KVA REDE DE 34KV, 1 PARA RAIO QUEIMADO, ACESSO LIVRE.EQUIPE D.B. MACHADO</t>
        </is>
      </c>
      <c r="R5" s="51"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6" ht="46" customHeight="1">
      <c r="A6" s="52" t="inlineStr">
        <is>
          <t>5741943048</t>
        </is>
      </c>
      <c r="B6" s="52" t="inlineStr">
        <is>
          <t>ETO-RD-GR 00052/2026</t>
        </is>
      </c>
      <c r="C6" s="52" t="inlineStr">
        <is>
          <t>FORTALEZA DO TABOCAO</t>
        </is>
      </c>
      <c r="D6" s="52" t="inlineStr">
        <is>
          <t>5</t>
        </is>
      </c>
      <c r="E6" s="52" t="inlineStr">
        <is>
          <t>—</t>
        </is>
      </c>
      <c r="F6" s="52" t="inlineStr">
        <is>
          <t>—</t>
        </is>
      </c>
      <c r="G6" s="52" t="inlineStr">
        <is>
          <t>—</t>
        </is>
      </c>
      <c r="H6" s="52" t="inlineStr">
        <is>
          <t>09/01/2026 18:59</t>
        </is>
      </c>
      <c r="I6" s="52" t="inlineStr">
        <is>
          <t>12/01/2026 18:59</t>
        </is>
      </c>
      <c r="J6" s="52" t="inlineStr">
        <is>
          <t>10/01/2026 22:28</t>
        </is>
      </c>
      <c r="K6" s="52" t="n">
        <v>27.5</v>
      </c>
      <c r="L6" s="53" t="n">
        <v>44.5</v>
      </c>
      <c r="M6" s="52" t="inlineStr">
        <is>
          <t>1510147</t>
        </is>
      </c>
      <c r="N6" s="52" t="inlineStr">
        <is>
          <t>489685</t>
        </is>
      </c>
      <c r="O6" s="52" t="inlineStr">
        <is>
          <t>ROMAGNOLE</t>
        </is>
      </c>
      <c r="P6" s="52" t="inlineStr">
        <is>
          <t>ITAIPU</t>
        </is>
      </c>
      <c r="Q6" s="54" t="inlineStr">
        <is>
          <t>trafo queimado 5710088048, porem em campo esta o trafo 5741943048112.5 kVAacesso livre pararaio queimadoequipe 009op01- 63999201531</t>
        </is>
      </c>
      <c r="R6" s="5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785308_x</t>
        </is>
      </c>
    </row>
    <row r="7" ht="46" customHeight="1">
      <c r="A7" s="49" t="inlineStr">
        <is>
          <t>5744049021</t>
        </is>
      </c>
      <c r="B7" s="49" t="inlineStr">
        <is>
          <t>ETO-RD-GU 00061/2026</t>
        </is>
      </c>
      <c r="C7" s="49" t="inlineStr">
        <is>
          <t>PARANA</t>
        </is>
      </c>
      <c r="D7" s="49" t="inlineStr">
        <is>
          <t>1</t>
        </is>
      </c>
      <c r="E7" s="49" t="inlineStr">
        <is>
          <t>30/04/2026 08:06</t>
        </is>
      </c>
      <c r="F7" s="49" t="inlineStr">
        <is>
          <t>30/04/2026 12:10</t>
        </is>
      </c>
      <c r="G7" s="49" t="n">
        <v>4.07</v>
      </c>
      <c r="H7" s="49" t="inlineStr">
        <is>
          <t>13/01/2026 15:22</t>
        </is>
      </c>
      <c r="I7" s="49" t="inlineStr">
        <is>
          <t>16/01/2026 15:22</t>
        </is>
      </c>
      <c r="J7" s="49" t="inlineStr">
        <is>
          <t>14/01/2026 12:00</t>
        </is>
      </c>
      <c r="K7" s="49" t="n">
        <v>20.6</v>
      </c>
      <c r="L7" s="55" t="n">
        <v>51.4</v>
      </c>
      <c r="M7" s="49" t="inlineStr">
        <is>
          <t>487439</t>
        </is>
      </c>
      <c r="N7" s="49" t="inlineStr">
        <is>
          <t>114600</t>
        </is>
      </c>
      <c r="O7" s="49" t="inlineStr">
        <is>
          <t>ITAIPU</t>
        </is>
      </c>
      <c r="P7" s="49" t="inlineStr">
        <is>
          <t>ENGENORTE</t>
        </is>
      </c>
      <c r="Q7" s="51" t="inlineStr">
        <is>
          <t>transformador e para raio queimado</t>
        </is>
      </c>
      <c r="R7" s="51"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8" ht="46" customHeight="1">
      <c r="A8" s="52" t="inlineStr">
        <is>
          <t>5758640152</t>
        </is>
      </c>
      <c r="B8" s="52" t="inlineStr">
        <is>
          <t>DG-RD-PO 00085/2026</t>
        </is>
      </c>
      <c r="C8" s="52" t="inlineStr">
        <is>
          <t>SANTA ROSA DO TOCANTINS</t>
        </is>
      </c>
      <c r="D8" s="52" t="inlineStr">
        <is>
          <t>1</t>
        </is>
      </c>
      <c r="E8" s="52" t="inlineStr">
        <is>
          <t>20/01/2026 21:53</t>
        </is>
      </c>
      <c r="F8" s="52" t="inlineStr">
        <is>
          <t>21/01/2026 19:28</t>
        </is>
      </c>
      <c r="G8" s="52" t="n">
        <v>21.58</v>
      </c>
      <c r="H8" s="52" t="inlineStr">
        <is>
          <t>20/01/2026 21:59</t>
        </is>
      </c>
      <c r="I8" s="52" t="inlineStr">
        <is>
          <t>23/01/2026 21:59</t>
        </is>
      </c>
      <c r="J8" s="52" t="inlineStr">
        <is>
          <t>21/01/2026 19:20</t>
        </is>
      </c>
      <c r="K8" s="52" t="n">
        <v>21.3</v>
      </c>
      <c r="L8" s="53" t="n">
        <v>50.7</v>
      </c>
      <c r="M8" s="52" t="inlineStr">
        <is>
          <t>1568551</t>
        </is>
      </c>
      <c r="N8" s="52" t="inlineStr">
        <is>
          <t>400401</t>
        </is>
      </c>
      <c r="O8" s="52" t="inlineStr">
        <is>
          <t>ROMAGNOLE</t>
        </is>
      </c>
      <c r="P8" s="52" t="inlineStr">
        <is>
          <t>TRAEL</t>
        </is>
      </c>
      <c r="Q8" s="54" t="inlineStr">
        <is>
          <t>INT: 20264089363984Segue SS de TR 5758640152 112.5KVA/34.5KV e para-raios queimados.Acesso livre.UC 35609700Poto de Combustivel na entrada da cidadeGEREMIAS BORDIGNON152OP01 63 98413-9467</t>
        </is>
      </c>
      <c r="R8" s="54" t="inlineStr">
        <is>
          <t xml:space="preserve">medido_ emergencial_ substituição de trafo queimado rdr santa rosa </t>
        </is>
      </c>
    </row>
    <row r="9" ht="46" customHeight="1">
      <c r="A9" s="49" t="inlineStr">
        <is>
          <t>5710170052</t>
        </is>
      </c>
      <c r="B9" s="49" t="inlineStr">
        <is>
          <t>ETO-RD-GU 00202/2026</t>
        </is>
      </c>
      <c r="C9" s="49" t="inlineStr">
        <is>
          <t>FORMOSO DO ARAGUAIA</t>
        </is>
      </c>
      <c r="D9" s="49" t="inlineStr">
        <is>
          <t>1</t>
        </is>
      </c>
      <c r="E9" s="49" t="inlineStr">
        <is>
          <t>11/02/2026 10:11</t>
        </is>
      </c>
      <c r="F9" s="49" t="inlineStr">
        <is>
          <t>12/02/2026 18:00</t>
        </is>
      </c>
      <c r="G9" s="49" t="n">
        <v>31.82</v>
      </c>
      <c r="H9" s="49" t="inlineStr">
        <is>
          <t>11/02/2026 17:20</t>
        </is>
      </c>
      <c r="I9" s="49" t="inlineStr">
        <is>
          <t>14/02/2026 17:20</t>
        </is>
      </c>
      <c r="J9" s="49" t="inlineStr">
        <is>
          <t>12/02/2026 18:00</t>
        </is>
      </c>
      <c r="K9" s="49" t="n">
        <v>24.7</v>
      </c>
      <c r="L9" s="55" t="n">
        <v>47.3</v>
      </c>
      <c r="M9" s="49" t="inlineStr">
        <is>
          <t>798293</t>
        </is>
      </c>
      <c r="N9" s="49" t="inlineStr">
        <is>
          <t>589121</t>
        </is>
      </c>
      <c r="O9" s="49" t="inlineStr">
        <is>
          <t>TRAEL</t>
        </is>
      </c>
      <c r="P9" s="49" t="inlineStr">
        <is>
          <t>ITAIPU</t>
        </is>
      </c>
      <c r="Q9" s="51" t="inlineStr">
        <is>
          <t>SEGUE SOLICITAÇÃO PARA TROCA DE TRAFO QUEIMADO NA RDR DE FORMOSO</t>
        </is>
      </c>
      <c r="R9" s="51"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10" ht="46" customHeight="1">
      <c r="A10" s="52" t="inlineStr">
        <is>
          <t>5725809122</t>
        </is>
      </c>
      <c r="B10" s="52" t="inlineStr">
        <is>
          <t>ETO-RD-PA 00187/2026</t>
        </is>
      </c>
      <c r="C10" s="52" t="inlineStr">
        <is>
          <t>PALMAS</t>
        </is>
      </c>
      <c r="D10" s="52" t="inlineStr">
        <is>
          <t>2</t>
        </is>
      </c>
      <c r="E10" s="52" t="inlineStr">
        <is>
          <t>18/03/2026 11:08</t>
        </is>
      </c>
      <c r="F10" s="52" t="inlineStr">
        <is>
          <t>18/03/2026 15:28</t>
        </is>
      </c>
      <c r="G10" s="52" t="n">
        <v>4.33</v>
      </c>
      <c r="H10" s="52" t="inlineStr">
        <is>
          <t>18/03/2026 11:14</t>
        </is>
      </c>
      <c r="I10" s="52" t="inlineStr">
        <is>
          <t>21/03/2026 11:14</t>
        </is>
      </c>
      <c r="J10" s="52" t="inlineStr">
        <is>
          <t>18/03/2026 18:00</t>
        </is>
      </c>
      <c r="K10" s="52" t="n">
        <v>6.8</v>
      </c>
      <c r="L10" s="53" t="n">
        <v>65.2</v>
      </c>
      <c r="M10" s="52" t="inlineStr">
        <is>
          <t>396360</t>
        </is>
      </c>
      <c r="N10" s="52" t="inlineStr">
        <is>
          <t>1575636</t>
        </is>
      </c>
      <c r="O10" s="52" t="inlineStr">
        <is>
          <t>TRAEL</t>
        </is>
      </c>
      <c r="P10" s="52" t="inlineStr">
        <is>
          <t>ROMAGNOLE</t>
        </is>
      </c>
      <c r="Q10" s="54" t="inlineStr">
        <is>
          <t>Segue SS para atendimento com equipe de manutenção , substituir trafo QUEIMADO 5725809122 na RDU de palmas , acesso livre , tensão 13,8 , potencia 112,5 , para-raio queimado</t>
        </is>
      </c>
      <c r="R10" s="54"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11" ht="46" customHeight="1">
      <c r="A11" s="49" t="inlineStr">
        <is>
          <t>5700010186</t>
        </is>
      </c>
      <c r="B11" s="49" t="inlineStr">
        <is>
          <t>ETO-RD-GU 00384/2026</t>
        </is>
      </c>
      <c r="C11" s="49" t="inlineStr">
        <is>
          <t>JAU DO TOCANTINS</t>
        </is>
      </c>
      <c r="D11" s="49" t="inlineStr">
        <is>
          <t>20</t>
        </is>
      </c>
      <c r="E11" s="49" t="inlineStr">
        <is>
          <t>24/03/2026 14:41</t>
        </is>
      </c>
      <c r="F11" s="49" t="inlineStr">
        <is>
          <t>25/03/2026 07:30</t>
        </is>
      </c>
      <c r="G11" s="49" t="n">
        <v>16.82</v>
      </c>
      <c r="H11" s="49" t="inlineStr">
        <is>
          <t>24/03/2026 16:50</t>
        </is>
      </c>
      <c r="I11" s="49" t="inlineStr">
        <is>
          <t>27/03/2026 16:50</t>
        </is>
      </c>
      <c r="J11" s="49" t="inlineStr">
        <is>
          <t>25/03/2026 07:30</t>
        </is>
      </c>
      <c r="K11" s="49" t="n">
        <v>14.7</v>
      </c>
      <c r="L11" s="55" t="n">
        <v>57.3</v>
      </c>
      <c r="M11" s="49" t="inlineStr">
        <is>
          <t>1423257</t>
        </is>
      </c>
      <c r="N11" s="49" t="inlineStr">
        <is>
          <t>1548908</t>
        </is>
      </c>
      <c r="O11" s="49" t="inlineStr">
        <is>
          <t>ITB</t>
        </is>
      </c>
      <c r="P11" s="49" t="inlineStr">
        <is>
          <t>ROMAGNOLE</t>
        </is>
      </c>
      <c r="Q11" s="51" t="inlineStr">
        <is>
          <t>segue nota pra substituir trafo queimado RDR de JAU asseço livre</t>
        </is>
      </c>
      <c r="R11" s="51"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2" ht="46" customHeight="1">
      <c r="A12" s="52" t="inlineStr">
        <is>
          <t>5727671110</t>
        </is>
      </c>
      <c r="B12" s="52" t="inlineStr">
        <is>
          <t>ENC-RD-PS 00435/2026</t>
        </is>
      </c>
      <c r="C12" s="52" t="inlineStr">
        <is>
          <t>SANTA RITA DO TOCANTINS</t>
        </is>
      </c>
      <c r="D12" s="52" t="inlineStr">
        <is>
          <t>1</t>
        </is>
      </c>
      <c r="E12" s="52" t="inlineStr">
        <is>
          <t>04/04/2026 18:25</t>
        </is>
      </c>
      <c r="F12" s="52" t="inlineStr">
        <is>
          <t>06/04/2026 16:58</t>
        </is>
      </c>
      <c r="G12" s="52" t="n">
        <v>46.55</v>
      </c>
      <c r="H12" s="52" t="inlineStr">
        <is>
          <t>05/04/2026 16:20</t>
        </is>
      </c>
      <c r="I12" s="52" t="inlineStr">
        <is>
          <t>08/04/2026 16:20</t>
        </is>
      </c>
      <c r="J12" s="52" t="inlineStr">
        <is>
          <t>06/04/2026 16:58</t>
        </is>
      </c>
      <c r="K12" s="52" t="n">
        <v>24.6</v>
      </c>
      <c r="L12" s="53" t="n">
        <v>47.4</v>
      </c>
      <c r="M12" s="52" t="inlineStr">
        <is>
          <t>1498016</t>
        </is>
      </c>
      <c r="N12" s="52" t="inlineStr">
        <is>
          <t>602397</t>
        </is>
      </c>
      <c r="O12" s="52" t="inlineStr">
        <is>
          <t>ITB</t>
        </is>
      </c>
      <c r="P12" s="52" t="inlineStr">
        <is>
          <t>ITAIPU</t>
        </is>
      </c>
      <c r="Q12" s="54" t="inlineStr">
        <is>
          <t>TR 5727671110112,5KVAPARA RAIO DANIFICADO TENSAO 34500ACESSO PARA CAMINHAO 073OP01 ESTEVE NO LOCAL</t>
        </is>
      </c>
      <c r="R12" s="54"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13" ht="46" customHeight="1">
      <c r="A13" s="49" t="inlineStr">
        <is>
          <t>5700001112</t>
        </is>
      </c>
      <c r="B13" s="49" t="inlineStr">
        <is>
          <t>ETO-RD-GR 00405/2026</t>
        </is>
      </c>
      <c r="C13" s="49" t="inlineStr">
        <is>
          <t>COLMEIA</t>
        </is>
      </c>
      <c r="D13" s="49" t="inlineStr">
        <is>
          <t>0</t>
        </is>
      </c>
      <c r="E13" s="49" t="inlineStr">
        <is>
          <t>06/04/2026 22:19</t>
        </is>
      </c>
      <c r="F13" s="49" t="inlineStr">
        <is>
          <t>07/04/2026 01:46</t>
        </is>
      </c>
      <c r="G13" s="49" t="n">
        <v>3.45</v>
      </c>
      <c r="H13" s="49" t="inlineStr">
        <is>
          <t>06/04/2026 16:56</t>
        </is>
      </c>
      <c r="I13" s="49" t="inlineStr">
        <is>
          <t>09/04/2026 16:56</t>
        </is>
      </c>
      <c r="J13" s="49" t="inlineStr">
        <is>
          <t>07/04/2026 01:30</t>
        </is>
      </c>
      <c r="K13" s="49" t="n">
        <v>8.6</v>
      </c>
      <c r="L13" s="55" t="n">
        <v>63.4</v>
      </c>
      <c r="M13" s="49" t="inlineStr">
        <is>
          <t>435126</t>
        </is>
      </c>
      <c r="N13" s="49" t="inlineStr">
        <is>
          <t>489704</t>
        </is>
      </c>
      <c r="O13" s="49" t="inlineStr">
        <is>
          <t>TRAEL</t>
        </is>
      </c>
      <c r="P13" s="49" t="inlineStr">
        <is>
          <t>ITAIPU</t>
        </is>
      </c>
      <c r="Q13" s="51" t="inlineStr">
        <is>
          <t>acionar equipe de manutencao para troca de trafo avariado na RDU de Goainir dos campos e chave danificada fase Atrafo 5700001112Equipe 033po01</t>
        </is>
      </c>
      <c r="R13" s="51"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t>
        </is>
      </c>
    </row>
    <row r="14" ht="46" customHeight="1">
      <c r="A14" s="52" t="inlineStr">
        <is>
          <t>5737010110</t>
        </is>
      </c>
      <c r="B14" s="52" t="inlineStr">
        <is>
          <t>DG-RD-PO 00331/2026</t>
        </is>
      </c>
      <c r="C14" s="52" t="inlineStr">
        <is>
          <t>SANTA RITA DO TOCANTINS</t>
        </is>
      </c>
      <c r="D14" s="52" t="inlineStr">
        <is>
          <t>1</t>
        </is>
      </c>
      <c r="E14" s="52" t="inlineStr">
        <is>
          <t>12/04/2026 18:58</t>
        </is>
      </c>
      <c r="F14" s="52" t="inlineStr">
        <is>
          <t>14/04/2026 17:25</t>
        </is>
      </c>
      <c r="G14" s="52" t="n">
        <v>46.45</v>
      </c>
      <c r="H14" s="52" t="inlineStr">
        <is>
          <t>13/04/2026 15:09</t>
        </is>
      </c>
      <c r="I14" s="52" t="inlineStr">
        <is>
          <t>16/04/2026 15:09</t>
        </is>
      </c>
      <c r="J14" s="52" t="inlineStr">
        <is>
          <t>14/04/2026 17:20</t>
        </is>
      </c>
      <c r="K14" s="52" t="n">
        <v>26.2</v>
      </c>
      <c r="L14" s="53" t="n">
        <v>45.8</v>
      </c>
      <c r="M14" s="52" t="inlineStr">
        <is>
          <t>324371</t>
        </is>
      </c>
      <c r="N14" s="52" t="inlineStr">
        <is>
          <t>584514</t>
        </is>
      </c>
      <c r="O14" s="52" t="inlineStr">
        <is>
          <t>TRAEL</t>
        </is>
      </c>
      <c r="P14" s="52" t="inlineStr">
        <is>
          <t>ITAIPU</t>
        </is>
      </c>
      <c r="Q14" s="54" t="inlineStr">
        <is>
          <t>SS PARA TROCAR TRAFO 5737010110 E PARA RAIO QUEIMADOPOTENCIA; 112,5KVA 34500ACESS: LIVRE</t>
        </is>
      </c>
      <c r="R14" s="54" t="inlineStr">
        <is>
          <t xml:space="preserve">medido_ emergencial_ substituição de trafo queimado rdr santa rita </t>
        </is>
      </c>
    </row>
    <row r="15" ht="46" customHeight="1">
      <c r="A15" s="49" t="inlineStr">
        <is>
          <t>5731658122</t>
        </is>
      </c>
      <c r="B15" s="49" t="inlineStr">
        <is>
          <t>DOLP-RD-PA 00493/2026</t>
        </is>
      </c>
      <c r="C15" s="49" t="inlineStr">
        <is>
          <t>PALMAS</t>
        </is>
      </c>
      <c r="D15" s="49" t="inlineStr">
        <is>
          <t>0</t>
        </is>
      </c>
      <c r="E15" s="49" t="inlineStr">
        <is>
          <t>24/04/2026 10:49</t>
        </is>
      </c>
      <c r="F15" s="49" t="inlineStr">
        <is>
          <t>24/04/2026 18:19</t>
        </is>
      </c>
      <c r="G15" s="49" t="n">
        <v>7.5</v>
      </c>
      <c r="H15" s="49" t="inlineStr">
        <is>
          <t>24/04/2026 11:48</t>
        </is>
      </c>
      <c r="I15" s="49" t="inlineStr">
        <is>
          <t>27/04/2026 11:48</t>
        </is>
      </c>
      <c r="J15" s="49" t="inlineStr">
        <is>
          <t>24/04/2026 18:00</t>
        </is>
      </c>
      <c r="K15" s="49" t="n">
        <v>6.2</v>
      </c>
      <c r="L15" s="55" t="n">
        <v>65.8</v>
      </c>
      <c r="M15" s="49" t="inlineStr">
        <is>
          <t>489689</t>
        </is>
      </c>
      <c r="N15" s="49" t="inlineStr">
        <is>
          <t>1672873</t>
        </is>
      </c>
      <c r="O15" s="49" t="inlineStr">
        <is>
          <t>ITAIPU</t>
        </is>
      </c>
      <c r="P15" s="49" t="inlineStr">
        <is>
          <t>ROMAGNOLE</t>
        </is>
      </c>
      <c r="Q15" s="51" t="inlineStr">
        <is>
          <t>sgeue ss de 01 trafo de 150 kvar da rede de 34,500kv queimado para ser subistituido pela equipe de manutencão acesso livre cliente penalizado equipe 059op17 cel, 63992621690 chave de referencia 5731658122</t>
        </is>
      </c>
      <c r="R15" s="51"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6" ht="46" customHeight="1">
      <c r="A16" s="52" t="inlineStr">
        <is>
          <t>5700177250</t>
        </is>
      </c>
      <c r="B16" s="52" t="inlineStr">
        <is>
          <t>DG-RD-PO 00400/2026</t>
        </is>
      </c>
      <c r="C16" s="52" t="inlineStr">
        <is>
          <t>IPUEIRAS</t>
        </is>
      </c>
      <c r="D16" s="52" t="inlineStr">
        <is>
          <t>1</t>
        </is>
      </c>
      <c r="E16" s="52" t="inlineStr">
        <is>
          <t>02/06/2026 12:45</t>
        </is>
      </c>
      <c r="F16" s="52" t="inlineStr">
        <is>
          <t>03/06/2026 17:05</t>
        </is>
      </c>
      <c r="G16" s="52" t="n">
        <v>28.33</v>
      </c>
      <c r="H16" s="52" t="inlineStr">
        <is>
          <t>02/06/2026 17:11</t>
        </is>
      </c>
      <c r="I16" s="52" t="inlineStr">
        <is>
          <t>05/06/2026 17:11</t>
        </is>
      </c>
      <c r="J16" s="52" t="inlineStr">
        <is>
          <t>03/06/2026 17:20</t>
        </is>
      </c>
      <c r="K16" s="52" t="n">
        <v>24.1</v>
      </c>
      <c r="L16" s="53" t="n">
        <v>47.9</v>
      </c>
      <c r="M16" s="52" t="inlineStr">
        <is>
          <t>644450</t>
        </is>
      </c>
      <c r="N16" s="52" t="inlineStr">
        <is>
          <t>676403</t>
        </is>
      </c>
      <c r="O16" s="52" t="inlineStr">
        <is>
          <t>TRAEL</t>
        </is>
      </c>
      <c r="P16" s="52" t="inlineStr">
        <is>
          <t>TRAEL</t>
        </is>
      </c>
      <c r="Q16" s="54" t="inlineStr">
        <is>
          <t>TR-5700102250 Queimadopara raios bompotência 45kvatensão 34,5kvacesso livreequipe 001OP017 tel-63992113757</t>
        </is>
      </c>
      <c r="R16" s="54" t="inlineStr">
        <is>
          <t>medido_ emegencial_ substituição de trafo queimado rdu ipueiras</t>
        </is>
      </c>
    </row>
    <row r="17" ht="46" customHeight="1">
      <c r="A17" s="49" t="inlineStr">
        <is>
          <t>5710016016</t>
        </is>
      </c>
      <c r="B17" s="49" t="inlineStr">
        <is>
          <t>ETO-RD-AR 01134/2026</t>
        </is>
      </c>
      <c r="C17" s="49" t="inlineStr">
        <is>
          <t>WANDERLANDIA</t>
        </is>
      </c>
      <c r="D17" s="49" t="inlineStr">
        <is>
          <t>2</t>
        </is>
      </c>
      <c r="E17" s="49" t="inlineStr">
        <is>
          <t>20/07/2026 15:25</t>
        </is>
      </c>
      <c r="F17" s="49" t="inlineStr">
        <is>
          <t>21/07/2026 00:39</t>
        </is>
      </c>
      <c r="G17" s="49" t="n">
        <v>9.23</v>
      </c>
      <c r="H17" s="49" t="inlineStr">
        <is>
          <t>20/07/2026 19:35</t>
        </is>
      </c>
      <c r="I17" s="49" t="inlineStr">
        <is>
          <t>23/07/2026 19:35</t>
        </is>
      </c>
      <c r="J17" s="49" t="inlineStr">
        <is>
          <t>21/07/2026 00:43</t>
        </is>
      </c>
      <c r="K17" s="49" t="n">
        <v>5.1</v>
      </c>
      <c r="L17" s="55" t="n">
        <v>66.90000000000001</v>
      </c>
      <c r="M17" s="49" t="inlineStr">
        <is>
          <t>1548911</t>
        </is>
      </c>
      <c r="N17" s="49" t="inlineStr">
        <is>
          <t>1613783</t>
        </is>
      </c>
      <c r="O17" s="49" t="inlineStr">
        <is>
          <t>ROMAGNOLE</t>
        </is>
      </c>
      <c r="P17" s="49" t="inlineStr">
        <is>
          <t>ROMAGNOLE</t>
        </is>
      </c>
      <c r="Q17" s="51" t="inlineStr">
        <is>
          <t>Boa noite!Senhores, enviar equipe manutenção para substituir trafo 5710016016 150 kva 34.5kv queimado, e substituir para raio e cruzetas.ESTRADA ESTANCIA SAO DOMINGOS, 0 - BR 153 KM 95 5 A DIREITA 4 KMacesso livre</t>
        </is>
      </c>
      <c r="R17" s="51"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8" ht="46" customHeight="1">
      <c r="A18" s="52" t="inlineStr">
        <is>
          <t>5700577150</t>
        </is>
      </c>
      <c r="B18" s="52" t="inlineStr">
        <is>
          <t>ETO-RD-DP 00501/2026</t>
        </is>
      </c>
      <c r="C18" s="52" t="inlineStr">
        <is>
          <t>NATIVIDADE</t>
        </is>
      </c>
      <c r="D18" s="52" t="inlineStr">
        <is>
          <t>21</t>
        </is>
      </c>
      <c r="E18" s="52" t="inlineStr">
        <is>
          <t>—</t>
        </is>
      </c>
      <c r="F18" s="52" t="inlineStr">
        <is>
          <t>—</t>
        </is>
      </c>
      <c r="G18" s="52" t="inlineStr">
        <is>
          <t>—</t>
        </is>
      </c>
      <c r="H18" s="52" t="inlineStr">
        <is>
          <t>13/08/2026 20:57</t>
        </is>
      </c>
      <c r="I18" s="52" t="inlineStr">
        <is>
          <t>16/08/2026 20:57</t>
        </is>
      </c>
      <c r="J18" s="52" t="inlineStr">
        <is>
          <t>14/08/2026 04:30</t>
        </is>
      </c>
      <c r="K18" s="52" t="n">
        <v>7.5</v>
      </c>
      <c r="L18" s="53" t="n">
        <v>64.5</v>
      </c>
      <c r="M18" s="52" t="inlineStr">
        <is>
          <t>474253</t>
        </is>
      </c>
      <c r="N18" s="52" t="inlineStr">
        <is>
          <t>1672873</t>
        </is>
      </c>
      <c r="O18" s="52" t="inlineStr">
        <is>
          <t>TRAEL</t>
        </is>
      </c>
      <c r="P18" s="52" t="inlineStr">
        <is>
          <t>ROMAGNOLE</t>
        </is>
      </c>
      <c r="Q18" s="54"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R18" s="54" t="inlineStr">
        <is>
          <t>atendida pela wc trafo de 150kva da 34,9kv oleo vegetal, retirado um de 75 kva mineral</t>
        </is>
      </c>
    </row>
    <row r="19" ht="46" customHeight="1">
      <c r="A19" s="49" t="inlineStr">
        <is>
          <t>5746834038</t>
        </is>
      </c>
      <c r="B19" s="49" t="inlineStr">
        <is>
          <t>ETO-RD-DP 00528/2026</t>
        </is>
      </c>
      <c r="C19" s="49" t="inlineStr">
        <is>
          <t>TAGUATINGA</t>
        </is>
      </c>
      <c r="D19" s="49" t="inlineStr">
        <is>
          <t>1</t>
        </is>
      </c>
      <c r="E19" s="49" t="inlineStr">
        <is>
          <t>—</t>
        </is>
      </c>
      <c r="F19" s="49" t="inlineStr">
        <is>
          <t>—</t>
        </is>
      </c>
      <c r="G19" s="49" t="inlineStr">
        <is>
          <t>—</t>
        </is>
      </c>
      <c r="H19" s="49" t="inlineStr">
        <is>
          <t>28/08/2026 11:11</t>
        </is>
      </c>
      <c r="I19" s="49" t="inlineStr">
        <is>
          <t>31/08/2026 11:11</t>
        </is>
      </c>
      <c r="J19" s="49" t="inlineStr">
        <is>
          <t>29/08/2026 10:16</t>
        </is>
      </c>
      <c r="K19" s="49" t="n">
        <v>23.1</v>
      </c>
      <c r="L19" s="55" t="n">
        <v>48.9</v>
      </c>
      <c r="M19" s="49" t="inlineStr">
        <is>
          <t>1454422</t>
        </is>
      </c>
      <c r="N19" s="49" t="inlineStr">
        <is>
          <t>396833</t>
        </is>
      </c>
      <c r="O19" s="49" t="inlineStr">
        <is>
          <t>TRAEL</t>
        </is>
      </c>
      <c r="P19" s="49" t="inlineStr">
        <is>
          <t>TRAEL</t>
        </is>
      </c>
      <c r="Q19" s="51" t="inlineStr">
        <is>
          <t>Segue SS para substituição de trafo queimado 150 kva</t>
        </is>
      </c>
      <c r="R19" s="51" t="inlineStr">
        <is>
          <t>trafo de 150 kva substituido pela tavares</t>
        </is>
      </c>
    </row>
    <row r="20" ht="46" customHeight="1">
      <c r="A20" s="52" t="inlineStr">
        <is>
          <t>5700239104</t>
        </is>
      </c>
      <c r="B20" s="52" t="inlineStr">
        <is>
          <t>ETO-RD-GR 00915/2026</t>
        </is>
      </c>
      <c r="C20" s="52" t="inlineStr">
        <is>
          <t>SANTA MARIA DO TOCANTINS</t>
        </is>
      </c>
      <c r="D20" s="52" t="inlineStr">
        <is>
          <t>0</t>
        </is>
      </c>
      <c r="E20" s="52" t="inlineStr">
        <is>
          <t>—</t>
        </is>
      </c>
      <c r="F20" s="52" t="inlineStr">
        <is>
          <t>—</t>
        </is>
      </c>
      <c r="G20" s="52" t="inlineStr">
        <is>
          <t>—</t>
        </is>
      </c>
      <c r="H20" s="52" t="inlineStr">
        <is>
          <t>—</t>
        </is>
      </c>
      <c r="I20" s="52" t="inlineStr">
        <is>
          <t>—</t>
        </is>
      </c>
      <c r="J20" s="52" t="inlineStr">
        <is>
          <t>—</t>
        </is>
      </c>
      <c r="K20" s="52" t="n"/>
      <c r="L20" s="53" t="n"/>
      <c r="M20" s="52" t="inlineStr">
        <is>
          <t>—</t>
        </is>
      </c>
      <c r="N20" s="52" t="inlineStr">
        <is>
          <t>—</t>
        </is>
      </c>
      <c r="O20" s="52" t="inlineStr">
        <is>
          <t>—</t>
        </is>
      </c>
      <c r="P20" s="52" t="inlineStr">
        <is>
          <t>—</t>
        </is>
      </c>
      <c r="Q20" s="54" t="inlineStr"/>
      <c r="R20" s="54" t="inlineStr"/>
    </row>
  </sheetData>
  <autoFilter ref="A4:R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2026-09-15T19:56:20Z</dcterms:created>
  <dcterms:modified xmlns:dcterms="http://purl.org/dc/terms/" xmlns:xsi="http://www.w3.org/2001/XMLSchema-instance" xsi:type="dcterms:W3CDTF">2026-09-15T20:26:21Z</dcterms:modified>
</cp:coreProperties>
</file>