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4.xml" ContentType="application/vnd.openxmlformats-officedocument.spreadsheetml.worksheet+xml"/>
  <Override PartName="/xl/pivotTables/pivotTable2.xml" ContentType="application/vnd.openxmlformats-officedocument.spreadsheetml.pivotTable+xml"/>
  <Override PartName="/xl/worksheets/sheet5.xml" ContentType="application/vnd.openxmlformats-officedocument.spreadsheetml.worksheet+xml"/>
  <Override PartName="/xl/pivotTables/pivotTable3.xml" ContentType="application/vnd.openxmlformats-officedocument.spreadsheetml.pivotTable+xml"/>
  <Override PartName="/xl/worksheets/sheet6.xml" ContentType="application/vnd.openxmlformats-officedocument.spreadsheetml.worksheet+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Leitura" sheetId="1" state="visible" r:id="rId1"/>
    <sheet xmlns:r="http://schemas.openxmlformats.org/officeDocument/2006/relationships" name="Resumo" sheetId="2" state="visible" r:id="rId2"/>
    <sheet xmlns:r="http://schemas.openxmlformats.org/officeDocument/2006/relationships" name="Din Categoria" sheetId="3" state="visible" r:id="rId3"/>
    <sheet xmlns:r="http://schemas.openxmlformats.org/officeDocument/2006/relationships" name="Din Motivo" sheetId="4" state="visible" r:id="rId4"/>
    <sheet xmlns:r="http://schemas.openxmlformats.org/officeDocument/2006/relationships" name="Din Texto x Motivo" sheetId="5" state="visible" r:id="rId5"/>
    <sheet xmlns:r="http://schemas.openxmlformats.org/officeDocument/2006/relationships" name="Planilha1" sheetId="6" state="visible" r:id="rId6"/>
    <sheet xmlns:r="http://schemas.openxmlformats.org/officeDocument/2006/relationships" name="Detalhes1" sheetId="7" state="visible" r:id="rId7"/>
    <sheet xmlns:r="http://schemas.openxmlformats.org/officeDocument/2006/relationships" name="Detalhes2" sheetId="8" state="visible" r:id="rId8"/>
    <sheet xmlns:r="http://schemas.openxmlformats.org/officeDocument/2006/relationships" name="Expurgos" sheetId="9" state="visible" r:id="rId9"/>
  </sheets>
  <definedNames>
    <definedName name="_xlnm._FilterDatabase" localSheetId="8" hidden="1">'Expurgos'!$A$1:$AD$228</definedName>
  </definedNames>
  <calcPr calcId="191029" fullCalcOnLoad="1"/>
  <pivotCaches>
    <pivotCache xmlns:r="http://schemas.openxmlformats.org/officeDocument/2006/relationships" cacheId="18" r:id="rId10"/>
  </pivotCaches>
</workbook>
</file>

<file path=xl/styles.xml><?xml version="1.0" encoding="utf-8"?>
<styleSheet xmlns="http://schemas.openxmlformats.org/spreadsheetml/2006/main">
  <numFmts count="0"/>
  <fonts count="10">
    <font>
      <name val="Calibri"/>
      <family val="2"/>
      <color theme="1"/>
      <sz val="11"/>
      <scheme val="minor"/>
    </font>
    <font>
      <name val="Calibri"/>
      <family val="2"/>
      <b val="1"/>
      <color rgb="FFFFFFFF"/>
      <sz val="10"/>
    </font>
    <font>
      <name val="Calibri"/>
      <family val="2"/>
      <b val="1"/>
      <color theme="1"/>
      <sz val="11"/>
      <scheme val="minor"/>
    </font>
    <font>
      <name val="Calibri"/>
      <b val="1"/>
      <color rgb="001F1F4C"/>
      <sz val="16"/>
    </font>
    <font>
      <name val="Calibri"/>
      <color rgb="00595959"/>
      <sz val="10"/>
    </font>
    <font>
      <name val="Calibri"/>
      <b val="1"/>
      <color rgb="001F1F4C"/>
      <sz val="12"/>
    </font>
    <font>
      <name val="Calibri"/>
      <b val="1"/>
      <sz val="11"/>
    </font>
    <font>
      <name val="Calibri"/>
      <sz val="11"/>
    </font>
    <font>
      <name val="Calibri"/>
      <b val="1"/>
      <color rgb="00FFFFFF"/>
      <sz val="11"/>
    </font>
    <font>
      <name val="Calibri"/>
      <i val="1"/>
      <color rgb="00595959"/>
      <sz val="10"/>
    </font>
  </fonts>
  <fills count="12">
    <fill>
      <patternFill/>
    </fill>
    <fill>
      <patternFill patternType="gray125"/>
    </fill>
    <fill>
      <patternFill patternType="solid">
        <fgColor rgb="FF1F3864"/>
      </patternFill>
    </fill>
    <fill>
      <patternFill patternType="solid">
        <fgColor rgb="FFE8EDF5"/>
      </patternFill>
    </fill>
    <fill>
      <patternFill patternType="solid">
        <fgColor rgb="FFFCE4E4"/>
      </patternFill>
    </fill>
    <fill>
      <patternFill patternType="solid">
        <fgColor rgb="FFFDEBD3"/>
      </patternFill>
    </fill>
    <fill>
      <patternFill patternType="solid">
        <fgColor rgb="FFFFF2CC"/>
      </patternFill>
    </fill>
    <fill>
      <patternFill patternType="solid">
        <fgColor rgb="FFEDE7F6"/>
      </patternFill>
    </fill>
    <fill>
      <patternFill patternType="solid">
        <fgColor rgb="FFE2EFDA"/>
      </patternFill>
    </fill>
    <fill>
      <patternFill patternType="solid">
        <fgColor rgb="FFFFFF00"/>
        <bgColor indexed="64"/>
      </patternFill>
    </fill>
    <fill>
      <patternFill patternType="solid">
        <fgColor rgb="001F1F4C"/>
      </patternFill>
    </fill>
    <fill>
      <patternFill patternType="solid">
        <fgColor rgb="00F2F2F2"/>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0" borderId="1" applyAlignment="1" pivotButton="0" quotePrefix="0" xfId="0">
      <alignment vertical="top" wrapText="1"/>
    </xf>
    <xf numFmtId="0" fontId="0" fillId="6"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0" borderId="0" pivotButton="1" quotePrefix="0" xfId="0"/>
    <xf numFmtId="0" fontId="0" fillId="0" borderId="0" applyAlignment="1" pivotButton="0" quotePrefix="0" xfId="0">
      <alignment horizontal="left"/>
    </xf>
    <xf numFmtId="0" fontId="0" fillId="0" borderId="0" applyAlignment="1" pivotButton="0" quotePrefix="0" xfId="0">
      <alignment horizontal="left" indent="1"/>
    </xf>
    <xf numFmtId="0" fontId="0" fillId="9" borderId="0" applyAlignment="1" pivotButton="0" quotePrefix="0" xfId="0">
      <alignment horizontal="left" indent="1"/>
    </xf>
    <xf numFmtId="0" fontId="0" fillId="9" borderId="0" pivotButton="0" quotePrefix="0" xfId="0"/>
    <xf numFmtId="0" fontId="0" fillId="0" borderId="0" applyAlignment="1" pivotButton="0" quotePrefix="0" xfId="0">
      <alignment wrapText="1"/>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8" fillId="10" borderId="2" applyAlignment="1" pivotButton="0" quotePrefix="0" xfId="0">
      <alignment vertical="center" wrapText="1"/>
    </xf>
    <xf numFmtId="0" fontId="7" fillId="0" borderId="2" pivotButton="0" quotePrefix="0" xfId="0"/>
    <xf numFmtId="0" fontId="7" fillId="0" borderId="2" applyAlignment="1" pivotButton="0" quotePrefix="0" xfId="0">
      <alignment horizontal="right"/>
    </xf>
    <xf numFmtId="9" fontId="7" fillId="0" borderId="2" applyAlignment="1" pivotButton="0" quotePrefix="0" xfId="0">
      <alignment horizontal="right"/>
    </xf>
    <xf numFmtId="0" fontId="7" fillId="11" borderId="2" pivotButton="0" quotePrefix="0" xfId="0"/>
    <xf numFmtId="0" fontId="7" fillId="11" borderId="2" applyAlignment="1" pivotButton="0" quotePrefix="0" xfId="0">
      <alignment horizontal="right"/>
    </xf>
    <xf numFmtId="9" fontId="7" fillId="11" borderId="2" applyAlignment="1" pivotButton="0" quotePrefix="0" xfId="0">
      <alignment horizontal="right"/>
    </xf>
    <xf numFmtId="0" fontId="6" fillId="0" borderId="2" pivotButton="0" quotePrefix="0" xfId="0"/>
    <xf numFmtId="0" fontId="6" fillId="0" borderId="2" applyAlignment="1" pivotButton="0" quotePrefix="0" xfId="0">
      <alignment horizontal="right"/>
    </xf>
    <xf numFmtId="9" fontId="6" fillId="0" borderId="2" applyAlignment="1" pivotButton="0" quotePrefix="0" xfId="0">
      <alignment horizontal="right"/>
    </xf>
    <xf numFmtId="0" fontId="9" fillId="0" borderId="0" pivotButton="0" quotePrefix="0" xfId="0"/>
  </cellXfs>
  <cellStyles count="1">
    <cellStyle name="Normal" xfId="0" builtinId="0"/>
  </cellStyles>
  <dxfs count="8">
    <dxf>
      <alignment horizontal="general" vertical="bottom" wrapText="1"/>
    </dxf>
    <dxf>
      <alignment horizontal="general" vertical="bottom" wrapText="1"/>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pivotCacheDefinition" Target="/xl/pivotCache/pivotCacheDefinition1.xml" Id="rId10"/><Relationship Type="http://schemas.openxmlformats.org/officeDocument/2006/relationships/styles" Target="styles.xml" Id="rId11"/><Relationship Type="http://schemas.openxmlformats.org/officeDocument/2006/relationships/theme" Target="theme/theme1.xml" Id="rId12"/></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Joao Antonio Lagares Milhomem de Souza" refreshedDate="46275.71823912037" createdVersion="8" refreshedVersion="8" minRefreshableVersion="3" recordCount="227" r:id="rId1">
  <cacheSource type="worksheet">
    <worksheetSource ref="A1:AD228" sheet="Expurgos"/>
  </cacheSource>
  <cacheFields count="30">
    <cacheField name="SS" uniqueList="1" numFmtId="0" sqlType="0" hierarchy="0" level="0" databaseField="1">
      <sharedItems count="227">
        <s v="DG-RD-PO 00064/2026"/>
        <s v="DOLP-RD-PA 00122/2026"/>
        <s v="DOLP-RD-PA 00124/2026"/>
        <s v="ENC-RD-PS 00008/2026"/>
        <s v="ETO-RD-AR 00034/2026"/>
        <s v="ETO-RD-AR 00188/2026"/>
        <s v="ETO-RD-GR 00023/2026"/>
        <s v="ETO-RD-GU 00017/2026"/>
        <s v="DG-RD-PO 00158/2026"/>
        <s v="DG-RD-PO 00160/2026"/>
        <s v="DG-RD-PO 00178/2026"/>
        <s v="DOLP-RD-PA 00177/2026"/>
        <s v="ETO-RD-AR 00204/2026"/>
        <s v="ETO-RD-AR 00268/2026"/>
        <s v="ETO-RD-GR 00238/2026"/>
        <s v="DOLP-RD-PA 00338/2026"/>
        <s v="ENC-RD-PS 00376/2026"/>
        <s v="ETO-RD-AR 00463/2026"/>
        <s v="ETO-RD-AR 00551/2026"/>
        <s v="ETO-RD-AR 00583/2026"/>
        <s v="ETO-RD-DP 00214/2026"/>
        <s v="ETO-RD-GR 00387/2026"/>
        <s v="ETO-RD-GU 00390/2026"/>
        <s v="ENC-RD-PS 00481/2026"/>
        <s v="ETO-RD-AR 00774/2026"/>
        <s v="ETO-RD-GR 00466/2026"/>
        <s v="ETO-RD-GU 00429/2026"/>
        <s v="DOLP-RD-PA 00643/2026"/>
        <s v="ENC-RD-PS 00601/2026"/>
        <s v="ETO-RD-AR 00992/2026"/>
        <s v="DOLP-RD-PA 00003/2026"/>
        <s v="DOLP-RD-PA 00125/2026"/>
        <s v="ENC-RD-PS 00024/2026"/>
        <s v="ENC-RD-PS 00044/2026"/>
        <s v="ENC-RD-PS 00054/2026"/>
        <s v="ENC-RD-PS 00057/2026"/>
        <s v="ETO-RD-AR 00001/2026"/>
        <s v="ETO-RD-AR 00024/2026"/>
        <s v="ETO-RD-AR 00081/2026"/>
        <s v="ETO-RD-AR 00118/2026"/>
        <s v="ETO-RD-GR 00052/2026"/>
        <s v="ETO-RD-GR 00095/2026"/>
        <s v="ETO-RD-GR 00140/2026"/>
        <s v="ETO-RD-GU 00066/2026"/>
        <s v="ETO-RD-GU 00073/2026"/>
        <s v="DG-RD-PO 00179/2026"/>
        <s v="DG-RD-PO 00180/2026"/>
        <s v="DOLP-RD-PA 00303/2026"/>
        <s v="ENC-RD-PS 00177/2026"/>
        <s v="ENC-RD-PS 00246/2026"/>
        <s v="ENC-RD-PS 00259/2026"/>
        <s v="ETO-RD-AG 00164/2026"/>
        <s v="ETO-RD-AR 00207/2026"/>
        <s v="ETO-RD-AR 00243/2026"/>
        <s v="ETO-RD-AR 00315/2026"/>
        <s v="ETO-RD-GR 00174/2026"/>
        <s v="ETO-RD-GR 00189/2026"/>
        <s v="ETO-RD-GR 00233/2026"/>
        <s v="ETO-RD-GR 00259/2026"/>
        <s v="ETO-RD-GR 00292/2026"/>
        <s v="ETO-RD-GR 00295/2026"/>
        <s v="ETO-RD-GU 00218/2026"/>
        <s v="DG-RD-PO 00233/2026"/>
        <s v="DG-RD-PO 00243/2026"/>
        <s v="DOLP-RD-PA 00382/2026"/>
        <s v="ENC-RD-PS 00358/2026"/>
        <s v="ENC-RD-PS 00361/2026"/>
        <s v="ETO-RD-AG 00249/2026"/>
        <s v="ETO-RD-AR 00415/2026"/>
        <s v="ETO-RD-AR 00434/2026"/>
        <s v="ETO-RD-AR 00437/2026"/>
        <s v="ETO-RD-AR 00440/2026"/>
        <s v="ETO-RD-AR 00468/2026"/>
        <s v="ETO-RD-AR 00504/2026"/>
        <s v="ETO-RD-AR 00555/2026"/>
        <s v="ETO-RD-AR 00557/2026"/>
        <s v="ETO-RD-AR 00582/2026"/>
        <s v="ETO-RD-GU 00377/2026"/>
        <s v="DG-RD-PO 00333/2026"/>
        <s v="DOLP-RD-PA 00437/2026"/>
        <s v="ENC-RD-PS 00438/2026"/>
        <s v="ETO-RD-AG 00437/2026"/>
        <s v="ETO-RD-AR 00658/2026"/>
        <s v="ETO-RD-AR 00690/2026"/>
        <s v="ETO-RD-AR 00700/2026"/>
        <s v="ETO-RD-AR 00702/2026"/>
        <s v="ETO-RD-AR 00742/2026"/>
        <s v="ETO-RD-AR 00763/2026"/>
        <s v="ETO-RD-AR 00773/2026"/>
        <s v="ETO-RD-AR 00775/2026"/>
        <s v="ETO-RD-DP 00248/2026"/>
        <s v="ETO-RD-GR 00400/2026"/>
        <s v="ETO-RD-GU 00440/2026"/>
        <s v="DOLP-RD-PA 00552/2026"/>
        <s v="DOLP-RD-PA 00588/2026"/>
        <s v="ETO-RD-AG 00489/2026"/>
        <s v="ETO-RD-AG 00508/2026"/>
        <s v="ETO-RD-AG 00545/2026"/>
        <s v="ETO-RD-AR 00818/2026"/>
        <s v="ETO-RD-AR 00872/2026"/>
        <s v="DOLP-RD-PA 00621/2026"/>
        <s v="ENC-RD-PS 00546/2026"/>
        <s v="ENC-RD-PS 00594/2026"/>
        <s v="ETO-RD-AR 00987/2026"/>
        <s v="ETO-RD-GR 00598/2026"/>
        <s v="ETO-RD-GR 00632/2026"/>
        <s v="DOLP-RD-PA 00806/2026"/>
        <s v="DOLP-RD-PA 00888/2026"/>
        <s v="DOLP-RD-PA 00925/2026"/>
        <s v="ETO-RD-AG 00877/2026"/>
        <s v="ETO-RD-AR 01225/2026"/>
        <s v="ETO-RD-AR 01274/2026"/>
        <s v="ETO-RD-AG 00023/2026"/>
        <s v="DOLP-RD-PA 00264/2026"/>
        <s v="ETO-RD-AR 00209/2026"/>
        <s v="DG-RD-PO 00436/2026"/>
        <s v="ENC-RD-PS 00606/2026"/>
        <s v="ETO-RD-GU 00685/2026"/>
        <s v="ETO-RD-GU 00696/2026"/>
        <s v="DG-RD-PO 00127/2026"/>
        <s v="DG-RD-PO 00025/2026"/>
        <s v="ETO-RD-GR 00205/2026"/>
        <s v="ETO-RD-AG 00026/2026"/>
        <s v="ETO-RD-AG 00042/2026"/>
        <s v="DG-RD-PO 00076/2026"/>
        <s v="DG-RD-PO 00130/2026"/>
        <s v="ENC-RD-PS 00016/2026"/>
        <s v="ENC-RD-PS 00090/2026"/>
        <s v="ENC-RD-PS 00108/2026"/>
        <s v="ENC-RD-PS 00154/2026"/>
        <s v="ETO-RD-AG 00104/2026"/>
        <s v="ETO-RD-AG 00174/2026"/>
        <s v="ETO-RD-GU 00179/2026"/>
        <s v="ENC-RD-PS 00314/2026"/>
        <s v="ETO-RD-DP 00182/2026"/>
        <s v="DG-RD-PO 00325/2026"/>
        <s v="ETO-RD-AR 00662/2026"/>
        <s v="ETO-RD-AR 00693/2026"/>
        <s v="ETO-RD-AR 00694/2026"/>
        <s v="DG-RD-PO 00387/2026"/>
        <s v="ETO-RD-GR 00511/2026"/>
        <s v="ETO-RD-GR 00537/2026"/>
        <s v="ETO-RD-AG 00644/2026"/>
        <s v="ETO-RD-AR 00952/2026"/>
        <s v="ETO-RD-AR 00991/2026"/>
        <s v="ETO-RD-GR 00659/2026"/>
        <s v="DG-RD-PO 00449/2026"/>
        <s v="ETO-RD-AR 01089/2026"/>
        <s v="ETO-RD-AR 01124/2026"/>
        <s v="ETO-RD-AR 01136/2026"/>
        <s v="ETO-RD-GU 00714/2026"/>
        <s v="ETO-RD-GU 00734/2026"/>
        <s v="DG-RD-PO 00489/2026"/>
        <s v="DG-RD-PO 00519/2026"/>
        <s v="DG-RD-PO 00524/2026"/>
        <s v="DOLP-RD-PA 00803/2026"/>
        <s v="ETO-RD-AG 00835/2026"/>
        <s v="ETO-RD-AR 01228/2026"/>
        <s v="ETO-RD-AR 01307/2026"/>
        <s v="ETO-RD-GU 00790/2026"/>
        <s v="ETO-RD-DP 00093/2026"/>
        <s v="DOLP-RD-PA 00429/2026"/>
        <s v="ETO-RD-AR 00951/2026"/>
        <s v="ETO-RD-GR 00720/2026"/>
        <s v="ETO-RD-AR 01211/2026"/>
        <s v="ETO-RD-GU 00853/2026"/>
        <s v="ENC-RD-PS 00095/2026"/>
        <s v="ETO-RD-AG 00009/2026"/>
        <s v="ETO-RD-AR 00033/2026"/>
        <s v="ETO-RD-AR 00172/2026"/>
        <s v="ETO-RD-AG 00227/2026"/>
        <s v="DOLP-RD-PA 00369/2026"/>
        <s v="DOLP-RD-PA 00479/2026"/>
        <s v="DOLP-RD-PA 00488/2026"/>
        <s v="ETO-RD-AG 00501/2026"/>
        <s v="ETO-RD-AR 00820/2026"/>
        <s v="DOLP-RD-PA 00688/2026"/>
        <s v="ETO-RD-AR 00986/2026"/>
        <s v="ETO-RD-GU 00129/2026"/>
        <s v="DG-RD-PO 00295/2026"/>
        <s v="ETO-RD-AG 00343/2026"/>
        <s v="ETO-RD-AG 00344/2026"/>
        <s v="ETO-RD-AG 00389/2026"/>
        <s v="ETO-RD-AG 00526/2026"/>
        <s v="ETO-RD-AG 00552/2026"/>
        <s v="ETO-RD-AG 00569/2026"/>
        <s v="ETO-RD-AG 00582/2026"/>
        <s v="ETO-RD-AG 00585/2026"/>
        <s v="ETO-RD-AG 00635/2026"/>
        <s v="ETO-RD-AG 00729/2026"/>
        <s v="ETO-RD-AG 00924/2026"/>
        <s v="ETO-RD-AR 01288/2026"/>
        <s v="ETO-RD-AG 00035/2026"/>
        <s v="DOLP-RD-PA 00294/2026"/>
        <s v="DG-RD-PO 00226/2026"/>
        <s v="DOLP-RD-PA 00471/2026"/>
        <s v="ETO-RD-AG 00587/2026"/>
        <s v="ETO-RD-AR 01030/2026"/>
        <s v="ETO-RD-AR 01095/2026"/>
        <s v="DG-RD-PO 00116/2026"/>
        <s v="DOLP-RD-PA 00244/2026"/>
        <s v="ETO-RD-GU 00232/2026"/>
        <s v="ETO-RD-GU 00671/2026"/>
        <s v="DOLP-RD-PA 00348/2026"/>
        <s v="DOLP-RD-PA 00354/2026"/>
        <s v="ETO-RD-DP 00233/2026"/>
        <s v="DOLP-RD-PA 00008/2026"/>
        <s v="DOLP-RD-PA 00096/2026"/>
        <s v="DOLP-RD-PA 00114/2026"/>
        <s v="ENC-RD-PS 00143/2026"/>
        <s v="ETO-RD-PS 00077/2026"/>
        <s v="DG-RD-PO 00164/2026"/>
        <s v="ETO-RD-PA 00170/2026"/>
        <s v="DOLP-RD-PA 00466/2026"/>
        <s v="ETO-RD-AG 00492/2026"/>
        <s v="DOLP-RD-PA 00690/2026"/>
        <s v="ETO-RD-AR 00757/2026"/>
        <s v="ENC-RD-PS 00508/2026"/>
        <s v="DOLP-RD-PA 00652/2026"/>
        <s v="ETO-RD-AG 00735/2026"/>
        <s v="ETO-RD-AG 00755/2026"/>
        <s v="ETO-RD-AR 01051/2026"/>
        <s v="DG-RD-PO 00526/2026"/>
        <s v="DOLP-RD-PA 00791/2026"/>
        <s v="DOLP-RD-PA 00826/2026"/>
        <s v="DOLP-RD-PA 00827/2026"/>
        <s v="ETO-RD-AG 00813/2026"/>
      </sharedItems>
    </cacheField>
    <cacheField name="Mês" uniqueList="1" numFmtId="0" sqlType="0" hierarchy="0" level="0" databaseField="1">
      <sharedItems count="0"/>
    </cacheField>
    <cacheField name="Macro categoria" uniqueList="1" numFmtId="0" sqlType="0" hierarchy="0" level="0" databaseField="1">
      <sharedItems count="5">
        <s v="Sem interrupção comprovada"/>
        <s v="Causa externa ao transformador"/>
        <s v="Troca sem falha"/>
        <s v="Sem documento"/>
        <s v="Não houve troca"/>
      </sharedItems>
    </cacheField>
    <cacheField name="Motivo" uniqueList="1" numFmtId="0" sqlType="0" hierarchy="0" level="0" databaseField="1">
      <sharedItems count="19">
        <s v="Fora da janela"/>
        <s v="Sem interrupção"/>
        <s v="Abalroamento"/>
        <s v="Dano de terceiros"/>
        <s v="Erro de cadastro"/>
        <s v="Falta de fase"/>
        <s v="Furto"/>
        <s v="Trafo auxiliar"/>
        <s v="Divisão de circuito"/>
        <s v="Melhoria de posto"/>
        <s v="Preventivo"/>
        <s v="Remanejamento"/>
        <s v="Tape / tensão"/>
        <s v="Obra sem execução"/>
        <s v="Obra sem transformador"/>
        <s v="Sem OS"/>
        <s v="Sem obra"/>
        <s v="SS duplicada"/>
        <s v="Sem troca"/>
      </sharedItems>
    </cacheField>
    <cacheField name="Resultado" uniqueList="1" numFmtId="0" sqlType="0" hierarchy="0" level="0" databaseField="1">
      <sharedItems count="0"/>
    </cacheField>
    <cacheField name="Categoria pelo texto" uniqueList="1" numFmtId="0" sqlType="0" hierarchy="0" level="0" databaseField="1">
      <sharedItems count="12">
        <s v="QUEIMADO"/>
        <s v="AVARIADO"/>
        <s v="ABALROAMENTO"/>
        <s v="FURTADO"/>
        <s v="TRAFO AUXILIAR"/>
        <s v="SOBRECARGA"/>
        <s v="SEM TEXTO"/>
        <s v="PREVENTIVO"/>
        <s v="SEM OS"/>
        <s v="OUTROS"/>
        <s v="CONSTRUCAO"/>
        <s v="DESATIVACAO"/>
      </sharedItems>
    </cacheField>
    <cacheField name="Fonte da categoria" uniqueList="1" numFmtId="0" sqlType="0" hierarchy="0" level="0" databaseField="1">
      <sharedItems count="0"/>
    </cacheField>
    <cacheField name="Categoria da leitura" uniqueList="1" numFmtId="0" sqlType="0" hierarchy="0" level="0" databaseField="1">
      <sharedItems count="0"/>
    </cacheField>
    <cacheField name="Trafo" uniqueList="1" numFmtId="0" sqlType="0" hierarchy="0" level="0" databaseField="1">
      <sharedItems count="0" containsInteger="1" containsNumber="1" containsSemiMixedTypes="0" containsString="0" minValue="4211178035" maxValue="5766930077"/>
    </cacheField>
    <cacheField name="OS" uniqueList="1" numFmtId="0" sqlType="0" hierarchy="0" level="0" databaseField="1">
      <sharedItems count="0"/>
    </cacheField>
    <cacheField name="Obra" uniqueList="1" numFmtId="0" sqlType="0" hierarchy="0" level="0" databaseField="1">
      <sharedItems count="0" containsBlank="1" containsInteger="1" containsNumber="1" containsString="0" minValue="112600144" maxValue="712600460"/>
    </cacheField>
    <cacheField name="Abertura" uniqueList="1" numFmtId="0" sqlType="0" hierarchy="0" level="0" databaseField="1">
      <sharedItems count="0"/>
    </cacheField>
    <cacheField name="Término" uniqueList="1" numFmtId="0" sqlType="0" hierarchy="0" level="0" databaseField="1">
      <sharedItems count="0"/>
    </cacheField>
    <cacheField name="Tipo da SS" uniqueList="1" numFmtId="0" sqlType="0" hierarchy="0" level="0" databaseField="1">
      <sharedItems count="0"/>
    </cacheField>
    <cacheField name="Equipe" uniqueList="1" numFmtId="0" sqlType="0" hierarchy="0" level="0" databaseField="1">
      <sharedItems count="0"/>
    </cacheField>
    <cacheField name="Localidade" uniqueList="1" numFmtId="0" sqlType="0" hierarchy="0" level="0" databaseField="1">
      <sharedItems count="0"/>
    </cacheField>
    <cacheField name="Origem da SS" uniqueList="1" numFmtId="0" sqlType="0" hierarchy="0" level="0" databaseField="1">
      <sharedItems count="0" containsBlank="1"/>
    </cacheField>
    <cacheField name="Defeito da SS" uniqueList="1" numFmtId="0" sqlType="0" hierarchy="0" level="0" databaseField="1">
      <sharedItems count="0" containsBlank="1"/>
    </cacheField>
    <cacheField name="NS retirado" uniqueList="1" numFmtId="0" sqlType="0" hierarchy="0" level="0" databaseField="1">
      <sharedItems count="0" containsBlank="1"/>
    </cacheField>
    <cacheField name="NS instalado" uniqueList="1" numFmtId="0" sqlType="0" hierarchy="0" level="0" databaseField="1">
      <sharedItems count="0" containsBlank="1" containsInteger="1" containsNumber="1" containsString="0" minValue="0" maxValue="20084012"/>
    </cacheField>
    <cacheField name="Prova de troca" uniqueList="1" numFmtId="0" sqlType="0" hierarchy="0" level="0" databaseField="1">
      <sharedItems count="0"/>
    </cacheField>
    <cacheField name="Crítica — causa" uniqueList="1" numFmtId="0" sqlType="0" hierarchy="0" level="0" databaseField="1">
      <sharedItems count="0" containsBlank="1"/>
    </cacheField>
    <cacheField name="Crítica — subcausa" uniqueList="1" numFmtId="0" sqlType="0" hierarchy="0" level="0" databaseField="1">
      <sharedItems count="0" containsBlank="1"/>
    </cacheField>
    <cacheField name="TMAE — causa" uniqueList="1" numFmtId="0" sqlType="0" hierarchy="0" level="0" databaseField="1">
      <sharedItems count="0" containsBlank="1"/>
    </cacheField>
    <cacheField name="TMAE — subcausa" uniqueList="1" numFmtId="0" sqlType="0" hierarchy="0" level="0" databaseField="1">
      <sharedItems count="0" containsBlank="1"/>
    </cacheField>
    <cacheField name="No Infotrafo" uniqueList="1" numFmtId="0" sqlType="0" hierarchy="0" level="0" databaseField="1">
      <sharedItems count="0"/>
    </cacheField>
    <cacheField name="Origem da leitura" uniqueList="1" numFmtId="0" sqlType="0" hierarchy="0" level="0" databaseField="1">
      <sharedItems count="0"/>
    </cacheField>
    <cacheField name="Por que saiu" uniqueList="1" numFmtId="0" sqlType="0" hierarchy="0" level="0" databaseField="1">
      <sharedItems count="0" longText="1"/>
    </cacheField>
    <cacheField name="Texto da SS" uniqueList="1" numFmtId="0" sqlType="0" hierarchy="0" level="0" databaseField="1">
      <sharedItems count="0" longText="1"/>
    </cacheField>
    <cacheField name="Texto da OS" uniqueList="1" numFmtId="0" sqlType="0" hierarchy="0" level="0" databaseField="1">
      <sharedItems count="0" containsBlank="1" longText="1"/>
    </cacheField>
  </cacheFields>
</pivotCacheDefinition>
</file>

<file path=xl/pivotCache/pivotCacheRecords1.xml><?xml version="1.0" encoding="utf-8"?>
<pivotCacheRecords xmlns="http://schemas.openxmlformats.org/spreadsheetml/2006/main" count="227">
  <r>
    <x v="0"/>
    <s v="jan"/>
    <x v="0"/>
    <x v="0"/>
    <s v="EXPURGO"/>
    <x v="0"/>
    <s v="esteira 1.582"/>
    <s v="FORA DA JANELA DA CRÍTICA"/>
    <n v="5711513001"/>
    <s v="DG-MLPO01  000016/2026"/>
    <n v="312600058"/>
    <s v="2026-01-16 03:49"/>
    <s v="2026-01-16 12:25"/>
    <s v="FORMS SUBST DE TRANSFORMADOR"/>
    <s v="DG-RD-PO"/>
    <s v="PORTO NACIONAL"/>
    <s v="AVARIADO"/>
    <s v="NÃO IDENTIFICADO"/>
    <s v="47057"/>
    <n v="1587612"/>
    <s v="sim"/>
    <m/>
    <m/>
    <m/>
    <m/>
    <s v="SIM"/>
    <s v="leitura caso a caso"/>
    <s v="Fora do indicador: a SS não cai na janela de nenhuma interrupção."/>
    <s v="Segue nota para envia equipe manutenção substituir Trafo 5711513001 de 10kva e para-raio avariado, Tensão 7,9kv, Rural de Porto Nacional Assentamento P.A. Pau Darco, Chac. Duas Irmãs, Acesso para camionete 4x4.Obs. Informação da equipe 001OP11 Trafo não Funcionando."/>
    <s v="medido_ _x000a_emergencial_ _x000a_ _x000a_ _x000a_substituição de trafo queimado rdr porto _x000a_"/>
  </r>
  <r>
    <x v="1"/>
    <s v="jan"/>
    <x v="0"/>
    <x v="0"/>
    <s v="EXPURGO"/>
    <x v="0"/>
    <s v="esteira 1.582"/>
    <s v="FORA DA JANELA DA CRÍTICA"/>
    <n v="5710169006"/>
    <s v="DLP-MLPA01  000020/2026"/>
    <n v="112600156"/>
    <s v="2026-01-25 10:13"/>
    <s v="2026-01-26 18:30"/>
    <s v="FORMS SUBST DE TRANSFORMADOR"/>
    <s v="DOLP-RD-PA"/>
    <s v="TOCANTINIA"/>
    <s v="QUEIMADO"/>
    <s v="NÃO IDENTIFICADO"/>
    <s v="358539"/>
    <n v="464890"/>
    <s v="sim"/>
    <m/>
    <m/>
    <m/>
    <m/>
    <s v="SIM"/>
    <s v="leitura caso a caso"/>
    <s v="Fora do indicador: a Crítica registra defeito aberto neste transformador, mas em data que não cabe na janela desta SS."/>
    <s v="segue ss de 01 trafo de 15 kvar e 01 para raio queimado da rede de 34.500kv para ser subistituido pela equipe de manutencão cliente penalizado 01 equipe que atendeu 006op01 cel, 63992363662/992379486 acesso livre favor agilizar o atendimento"/>
    <s v="MEDIDO_ _x000a_ _x000a_EMERGENCIAL_ _x000a_ _x000a_ _x000a_ _x000a_segue ss de 01 trafo de 15 kvar e 01 para raio queimado da rede de 34.500kv para ser subistituido pela equipe de manutencão cliente penalizado 01 equipe que atendeu 006op01 cel, 63992363662/992379486 acesso livre favor agilizar o atendimento _x000a_ _x000a_ _x000a_DADOS ATENDIMENTO _x000a_ _x000a_EQUIPE: PALMA11M _x000a_LIDER: EDUARDO DA SILVA SANTOS _x000a_CONTATO: 63 9296-7129 _x000a_DOLP-RD-PA 000122/2026 _x000a_DATA ATENDIMENTO: 26/01/2026 _x000a_ _x000a_Atenção! _x000a_Não intervenha na rede sem autorização do COI (Centro de Operações Integradas) _x000a_"/>
  </r>
  <r>
    <x v="2"/>
    <s v="jan"/>
    <x v="0"/>
    <x v="0"/>
    <s v="EXPURGO"/>
    <x v="0"/>
    <s v="esteira 1.582"/>
    <s v="FORA DA JANELA DA CRÍTICA"/>
    <n v="5711933122"/>
    <s v="DLP-MLPA01  000021/2026"/>
    <n v="112600144"/>
    <s v="2026-01-25 12:35"/>
    <s v="2026-01-26 16:04"/>
    <s v="FORMS SUBST DE TRANSFORMADOR"/>
    <s v="DOLP-RD-PA"/>
    <s v="PALMAS"/>
    <s v="QUEIMADO"/>
    <s v="NÃO IDENTIFICADO"/>
    <s v="181042"/>
    <n v="799443"/>
    <s v="sim"/>
    <m/>
    <m/>
    <m/>
    <m/>
    <s v="SIM"/>
    <s v="leitura caso a caso"/>
    <s v="Fora do indicador: a SS não cai na janela de nenhuma interrupção."/>
    <s v="segue ss de 01 trafo de 15 kvar e 01 para raio da rede de 34,500kv para ser subistituido pela equipe de manutencão acesso livre cliente penalizado 01 equipe que atendeu 059op12 cel, 63985065407/992621690 favor agilizar o atendimento devido a reclamacão ser doo dia 24-01-2026 09:52"/>
    <s v="MEDIDO_ _x000a_ _x000a_EMERGENCIAL_ _x000a_ _x000a_ _x000a_segue ss de 01 trafo de 15 kvar e 01 para raio da rede de 34,500kv para ser subistituido pela equipe de manutencão acesso livre cliente penalizado 01 equipe que atendeu 059op12 cel, 63985065407/992621690 favor agilizar o atendimento devido a reclamacão ser doo dia 24-01-2026 09:52 _x000a_ _x000a_ _x000a_ _x000a_DADOS ATENDIMENTO _x000a_ _x000a_EQUIPE: PALMA04M _x000a_LIDER: OSE RAIMUNDO LOPES DE SOUZA    _x000a_CONTATO: 63 9296-9610 _x000a_DOLP-RD-PA 000122/2026 _x000a_DATA ATENDIMENTO: 26/01/2026 _x000a_ _x000a_Atenção! _x000a_Não intervenha na rede sem autorização do COI (Centro de Operações Integradas) _x000a_"/>
  </r>
  <r>
    <x v="3"/>
    <s v="jan"/>
    <x v="0"/>
    <x v="0"/>
    <s v="EXPURGO"/>
    <x v="0"/>
    <s v="esteira 1.582"/>
    <s v="FORA DA JANELA DA CRÍTICA"/>
    <n v="5700188046"/>
    <s v="ENC-LMPS01  000004/2026"/>
    <n v="212600046"/>
    <s v="2026-01-03 18:05"/>
    <s v="2026-01-05 00:35"/>
    <s v="FORMS SUBST DE TRANSFORMADOR"/>
    <s v="ENC-RD-PS"/>
    <s v="NOVA ROSALANDIA"/>
    <s v="QUEIMADO"/>
    <s v="DESCARGA ATMOSFÉRICA"/>
    <s v="565670050"/>
    <n v="136158"/>
    <s v="sim"/>
    <s v="MEIO AMBIENTE"/>
    <s v="DESCARGA ATMOSFERICA"/>
    <m/>
    <m/>
    <s v="SIM"/>
    <s v="leitura caso a caso"/>
    <s v="Fora do indicador: a SS não cai na janela de nenhuma interrupção."/>
    <s v="TR 5700188046 QUEIMADO 30KVAPARA RAIO DANIFICADO ACESSO LIVRET 34500013OP14"/>
    <s v="SS ENC-RD-PS 08/2026 _x000a_TR 5700188046  _x000a_ _x000a_ _x000a_TRAFO RETIRADO _x000a_POTÊNCIA : 30KVA _x000a_TENSÃO :_x0009_ 34.5KV _x000a_Nº ENERGISA (CITD) : ILEGIVEL _x000a_Nº DE SÉRIE : 565670050 _x000a_MARCA : SIEMENS _x000a_DATA FABRICAÇÃO : 07/1999 _x000a_IMPEDANCIA : 4.15 _x000a_POS. TAP : 01 _x000a_ _x000a_TRAFO INSTALADO' _x000a_POTÊNCIA : 30KVA _x000a_TENSÃO :_x0009_ 34.5KV _x000a_Nº ENERGISA (CITD) : 134706 _x000a_Nº DE SÉRIE : 136158 _x000a_MARCA : TRAEL _x000a_DATA FABRICAÇÃO : 08/2008 _x000a_IMPEDANCIA : 4.15 _x000a_POS. TAP : 02 _x000a_ _x000a_"/>
  </r>
  <r>
    <x v="4"/>
    <s v="jan"/>
    <x v="0"/>
    <x v="0"/>
    <s v="EXPURGO"/>
    <x v="0"/>
    <s v="esteira 1.582"/>
    <s v="FORA DA JANELA DA CRÍTICA"/>
    <n v="5700867040"/>
    <s v="ENC-MLAR05  000014/2026"/>
    <n v="612600051"/>
    <s v="2026-01-08 10:53"/>
    <s v="2026-01-09 16:30"/>
    <s v="FORMS SUBST DE TRANSFORMADOR"/>
    <s v="ETO-RD-AR"/>
    <s v="ARAGOMINAS"/>
    <s v="QUEIMADO"/>
    <s v="DESCARGA ATMOSFÉRICA"/>
    <s v="432082"/>
    <m/>
    <s v="não"/>
    <m/>
    <m/>
    <m/>
    <m/>
    <s v="SIM"/>
    <s v="leitura caso a caso"/>
    <s v="Fora do indicador: a SS não cai na janela de nenhuma interrupção."/>
    <s v="Trafo 5700867040 15kvaTensão: 19.9Equipe: 058op03Endereço: IND ASSENTAMEN P.A. REUNIDAS, 0 - LOTE 37"/>
    <s v="ETO-RD-AR 34/2026 _x000a_TRAFO RETIRADO _x000a_POTÊNCIA : 15 KVA _x000a_TENSÃO :_x0009_ 34.5 KV _x000a_Nº ENERGISA (CITD) : 06105312 _x000a_Nº DE SÉRIE : 432082 _x000a_MARCA : TRAEL _x000a_DATA FABRICAÇÃO : 06/2017 _x000a_IMPEDANCIA : 2,9 _x000a_POS. TAP : 05 _x000a_ _x000a_TRAFO INSTALADO _x000a_POTÊNCIA : 15 KVA _x000a_TENSÃO :_x0009_ 34.5 KV _x000a_Nº ENERGISA (CITD) : 149686 _x000a_Nº DE SÉRIE : C 290247 _x000a_MARCA : ITAM _x000a_DATA FABRICAÇÃO : 09/2025 _x000a_IMPEDANCIA : 2,98 _x000a_POS. TAP : 05 _x000a_OBS. TRAFO SUBSTITUIDO EM CAMPO E DE 15 KVA COM FORME REALTORIO E BUOOK INFORMADO PELA EQUIPE, POREM NO SISTEMA TRAFO E DE 5 KVA ERRO DE CADATRO."/>
  </r>
  <r>
    <x v="5"/>
    <s v="jan"/>
    <x v="0"/>
    <x v="0"/>
    <s v="EXPURGO"/>
    <x v="0"/>
    <s v="esteira 1.582"/>
    <s v="FORA DA JANELA DA CRÍTICA"/>
    <n v="5739688157"/>
    <s v="ENC-MLAR01  000075/2026"/>
    <n v="612600125"/>
    <s v="2026-01-30 11:44"/>
    <s v="2026-01-30 21:00"/>
    <s v="FORMS SUBST DE TRANSFORMADOR"/>
    <s v="ETO-RD-AR"/>
    <s v="ARAGUANA"/>
    <s v="QUEIMADO"/>
    <s v="DESCARGA ATMOSFÉRICA"/>
    <s v="379613"/>
    <n v="460390"/>
    <s v="sim"/>
    <m/>
    <m/>
    <m/>
    <m/>
    <s v="não"/>
    <s v="leitura caso a caso"/>
    <s v="Fora do indicador: a SS não cai na janela de nenhuma interrupção."/>
    <s v="TRAFO QUEIMADO 5739688157 pararaio queimado acesso caminhonete"/>
    <s v="ETO-RD-AR 188/2026 _x000a_TR: 5739688157 _x000a_ _x000a_TRAFO RETIRADO _x000a_POTÊNCIA : 25KVA _x000a_TENSÃO :_x0009_ 34,5KV _x000a_Nº ENERGISA (CITD) : ILEGIVEL  _x000a_Nº DE SÉRIE : 379613 _x000a_MARCA : ITAIPU _x000a_DATA FABRICAÇÃO : 11/2019 _x000a_IMPEDANCIA : 2,94 _x000a_POS. TAP : 03 _x000a_ _x000a_TRAFO INSTALADO _x000a_POTÊNCIA : 25KVA _x000a_TENSÃO :_x0009_ 34,5KV _x000a_Nº ENERGISA (CITD) : 148698 _x000a_Nº DE SÉRIE : 460390 _x000a_MARCA : TRAEL _x000a_DATA FABRICAÇÃO : 2018 _x000a_IMPEDANCIA : 2,79 _x000a_POS. TAP : 03 _x000a_"/>
  </r>
  <r>
    <x v="6"/>
    <s v="jan"/>
    <x v="0"/>
    <x v="0"/>
    <s v="EXPURGO"/>
    <x v="1"/>
    <s v="esteira 1.582"/>
    <s v="FORA DA JANELA DA CRÍTICA"/>
    <n v="5700005195"/>
    <s v="ENC-MLGR03  000024/2026"/>
    <n v="712600051"/>
    <s v="2026-01-05 12:18"/>
    <s v="2026-01-08 14:34"/>
    <s v="FORMS SUBST DE TRANSFORMADOR"/>
    <s v="ETO-RD-GR"/>
    <s v="CENTENARIO"/>
    <s v="AVARIADO"/>
    <s v="VAZAMENTO DE ÓLEO"/>
    <s v="361653"/>
    <n v="1587002"/>
    <s v="sim"/>
    <m/>
    <m/>
    <m/>
    <m/>
    <s v="SIM"/>
    <s v="leitura caso a caso"/>
    <s v="Fora do indicador: a SS não cai na janela de nenhuma interrupção."/>
    <s v="Trafo: 5700005195 vazamento de oleo Potencia: 75 KVATensão: 34,5 KV Para raio: queimado Acesso: livre     Equipe: 227op01 (63) 99999-8761/99928-1276Obs. tem que tracar estrutura N1 completa e chave 34,5 KV que atende o trafo. substituir cabos do pirastique."/>
    <s v="SUBSTITUIDO UM TRAFO 5700005195 ETO-RD-GR 23/2026 RDU DE CENTENARIO  _x000a_ _x000a_TRAFO RETIRADO _x000a_POTÊNCIA : 75KVA _x000a_TENSÃO :_x0009_ 34,5KV _x000a_Nº ENERGISA (CITD) : 06101301 _x000a_Nº DE SÉRIE : 361653 _x000a_MARCA : TRAEL _x000a_DATA FABRICAÇÃO : 09/2015 _x000a_IMPEDANCIA : 4,12 _x000a_POS. TAP : 2 _x000a_ _x000a_TRAFO INSTALADO _x000a_POTÊNCIA : 112,5KVA _x000a_TENSÃO :_x0009_ 34,5KV _x000a_Nº ENERGISA (CITD) : 143940 _x000a_Nº DE SÉRIE : 1587002 _x000a_MARCA : ROMAGNOLE _x000a_DATA FABRICAÇÃO : 01/2025 _x000a_IMPEDANCIA : 3,95 _x000a_POS. TAP : 2 _x000a_ _x000a_MEDIÇÃO 1: 16,55 _x000a_MEDIÇÃO 2: 10,02 _x000a_MEDIÇÃO 3: 03,10 _x000a_ _x000a_COORDENADA  _x000a_X: 902885 _x000a_Y: 9007850"/>
  </r>
  <r>
    <x v="7"/>
    <s v="jan"/>
    <x v="0"/>
    <x v="0"/>
    <s v="EXPURGO"/>
    <x v="0"/>
    <s v="esteira 1.582"/>
    <s v="FORA DA JANELA DA CRÍTICA"/>
    <n v="5701363094"/>
    <s v="DBM-MLDB06  000006/2026"/>
    <n v="412600029"/>
    <s v="2026-01-04 15:53"/>
    <s v="2026-01-05 18:15"/>
    <s v="FORMS SUBST DE TRANSFORMADOR"/>
    <s v="ETO-RD-GU"/>
    <s v="PEIXE"/>
    <s v="AVARIADO"/>
    <s v="BUCHA DANIFICADA"/>
    <s v="389568"/>
    <n v="802095"/>
    <s v="sim"/>
    <s v="MEIO AMBIENTE"/>
    <s v="DESCARGA ATMOSFERICA"/>
    <s v="TRANSFORMADOR"/>
    <s v="FALTANDO FASE INTERNAMENTE"/>
    <s v="SIM"/>
    <s v="leitura caso a caso"/>
    <s v="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
    <s v="bucha secundaria queimada para raio queimado e chave fusivel com defeito 19,9kv"/>
    <s v="SUBSTITUIÇÃO DE TRANSFORMADOR NA RDR DE ARAGUAÇU _x000a_ _x000a_INT: 20264064884819 _x000a_ _x000a_SS: ETO-RD-GU 17/2026 _x000a_ _x000a_ESPECIFICAÇÕES DO TRANSFORMADOR _x000a_ _x000a_TRANSFORMADOR INSTALADO: 15 KVA _x000a_ _x000a_TRANSFORMADOR RETIRADO: 15 KVA _x000a_ _x000a_MEDIÇÕES _x000a_ _x000a_LOGO APÓS A TROCA  _x000a_ _x000a_VAN: 203 _x000a_ _x000a_VBN: 204 _x000a_ _x000a_OBS:SUBSTITUIÇÃO DE TRANSFORMADOR AUTORIZADA PELO DIONE. _x000a_"/>
  </r>
  <r>
    <x v="8"/>
    <s v="fev"/>
    <x v="0"/>
    <x v="0"/>
    <s v="EXPURGO"/>
    <x v="0"/>
    <s v="esteira 1.582"/>
    <s v="FORA DA JANELA DA CRÍTICA"/>
    <n v="5710045026"/>
    <s v="DG-MLPO01  000035/2026"/>
    <n v="312600123"/>
    <s v="2026-02-03 21:03"/>
    <s v="2026-02-04 20:50"/>
    <s v="FORMS SUBST DE TRANSFORMADOR"/>
    <s v="DG-RD-PO"/>
    <s v="PONTE ALTA DO TOCANTINS"/>
    <s v="QUEIMADO"/>
    <s v="DESCARGA ATMOSFÉRICA"/>
    <s v="371259"/>
    <n v="472337"/>
    <s v="sim"/>
    <m/>
    <m/>
    <m/>
    <m/>
    <s v="SIM"/>
    <s v="leitura caso a caso"/>
    <s v="Fora do indicador: a SS não cai na janela de nenhuma interrupção."/>
    <s v="TR 571004502615KVATENSAO 19,9PARA RAIO DANIFICADO ACESSO LIVRE 026OP01"/>
    <s v="medido_ _x000a_emergencial_ _x000a_ _x000a_ _x000a_TR 5710045026 _x000a_15KVA _x000a_TENSAO 19,9 _x000a_PARA RAIO DANIFICADO  _x000a_ACESSO LIVRE  _x000a_026OP01 _x000a_"/>
  </r>
  <r>
    <x v="9"/>
    <s v="fev"/>
    <x v="0"/>
    <x v="0"/>
    <s v="EXPURGO"/>
    <x v="0"/>
    <s v="esteira 1.582"/>
    <s v="FORA DA JANELA DA CRÍTICA"/>
    <n v="5753553037"/>
    <s v="DG-MPDG01  000048/2026"/>
    <n v="312600110"/>
    <s v="2026-02-04 09:56"/>
    <s v="2026-02-01 14:55"/>
    <s v="FORMS SUBST DE TRANSFORMADOR"/>
    <s v="DG-RD-PO"/>
    <s v="BREJINHO DE NAZARE"/>
    <s v="QUEIMADO"/>
    <s v="DESCARGA ATMOSFÉRICA"/>
    <s v="221122"/>
    <n v="1657795"/>
    <s v="sim"/>
    <m/>
    <m/>
    <m/>
    <m/>
    <s v="SIM"/>
    <s v="leitura caso a caso"/>
    <s v="Fora do indicador: a SS não cai na janela de nenhuma interrupção."/>
    <s v="TRAFO 5753553037 E PARA RAIO QUEIMADO POTENCIA: 75KVA 34500ACESSO: LIVRE"/>
    <s v="medido_ _x000a_emergencial_ _x000a_ _x000a_ _x000a_TRAFO 5753553037 E PARA RAIO QUEIMADO  _x000a_ _x000a_POTENCIA: 75KVA 34500 _x000a_ACESSO: LIVRE _x000a_"/>
  </r>
  <r>
    <x v="10"/>
    <s v="fev"/>
    <x v="0"/>
    <x v="0"/>
    <s v="EXPURGO"/>
    <x v="0"/>
    <s v="esteira 1.582"/>
    <s v="FORA DA JANELA DA CRÍTICA"/>
    <n v="5700861026"/>
    <s v="DG-MLPO02  000041/2026"/>
    <n v="312600161"/>
    <s v="2026-02-11 23:46"/>
    <s v="2026-02-12 18:43"/>
    <s v="FORMS SUBST DE TRANSFORMADOR"/>
    <s v="DG-RD-PO"/>
    <s v="PONTE ALTA DO TOCANTINS"/>
    <s v="QUEIMADO"/>
    <s v="DESCARGA ATMOSFÉRICA"/>
    <s v="184945"/>
    <n v="339337"/>
    <s v="sim"/>
    <m/>
    <m/>
    <m/>
    <m/>
    <s v="SIM"/>
    <s v="leitura caso a caso"/>
    <s v="Fora do indicador: a SS não cai na janela de nenhuma interrupção."/>
    <s v="Trafo 5700861026 de 15kva e para-raio queimado, Tensão 19,9kv, Acesso para camionete 4x, Rural de Ponte Alta, faz. IND FAZENDA PRODUCAO, 0 - LPT-14877 FAZ PRODUCAO"/>
    <s v="medido_ _x000a_emergencial_ _x000a_ _x000a_ _x000a_substituição de trafo queimado rdr ponte alta _x000a_"/>
  </r>
  <r>
    <x v="11"/>
    <s v="fev"/>
    <x v="0"/>
    <x v="0"/>
    <s v="EXPURGO"/>
    <x v="0"/>
    <s v="esteira 1.582"/>
    <s v="FORA DA JANELA DA CRÍTICA"/>
    <n v="5755307026"/>
    <s v="DLP-MLPA01  000032/2026"/>
    <n v="112600258"/>
    <s v="2026-02-03 08:31"/>
    <s v="2026-02-01 12:00"/>
    <s v="FORMS SUBST DE TRANSFORMADOR"/>
    <s v="DOLP-RD-PA"/>
    <s v="PONTE ALTA DO TOCANTINS"/>
    <s v="QUEIMADO"/>
    <s v="DESCARGA ATMOSFÉRICA"/>
    <s v="1026962"/>
    <n v="287170"/>
    <s v="sim"/>
    <m/>
    <m/>
    <m/>
    <m/>
    <s v="SIM"/>
    <s v="leitura caso a caso"/>
    <s v="Fora do indicador: a SS não cai na janela de nenhuma interrupção."/>
    <s v="Segundo informações da equipe 026OP03, o 5755307026 de 15kVA, tensão 19.9V, para raio está ok, acesso livre somente pra caminhonete."/>
    <s v="MEDIDO_ _x000a_ _x000a_EMERGENCIAL_ _x000a_ _x000a_Segundo informações da equipe 026OP03, o 5755307026 de 15kVA, tensão 19.9V, para raio está ok, acesso livre somente pra caminhonete. _x000a_TAP 3 _x000a_ _x000a_DADOS ATENDIMENTO _x000a_ _x000a_EQUIPE: _x000a_ENCARREGADO: _x000a_CONTATO: _x000a_DOLP-RD-PA 000177/2026 _x000a_DATA ATENDIMENTO:__ / __ / __ _x000a_ _x000a_Atenção! _x000a_Não intervenha na rede sem autorização do COI (Centro de Operações Integradas)"/>
  </r>
  <r>
    <x v="12"/>
    <s v="fev"/>
    <x v="0"/>
    <x v="0"/>
    <s v="EXPURGO"/>
    <x v="0"/>
    <s v="esteira 1.582"/>
    <s v="FORA DA JANELA DA CRÍTICA"/>
    <n v="5723118030"/>
    <s v="ENC-MLAR02  000018/2026"/>
    <n v="612600132"/>
    <s v="2026-02-02 07:07"/>
    <s v="2026-01-31 19:26"/>
    <s v="FORMS SUBST DE TRANSFORMADOR"/>
    <s v="ETO-RD-AR"/>
    <s v="XAMBIOA"/>
    <s v="QUEIMADO"/>
    <s v="SOBRECARGA"/>
    <s v="965782"/>
    <n v="820232"/>
    <s v="sim"/>
    <m/>
    <m/>
    <m/>
    <m/>
    <s v="SIM"/>
    <s v="leitura caso a caso"/>
    <s v="Fora do indicador: a SS não cai na janela de nenhuma interrupção."/>
    <s v="EQUIPE 030OP01TRAFO QUEIMADO 5723118030 potencia 10KVA tensão 34.5KV E RECUPERAR  BT ROMPIDAACESSO CAMINHONETE"/>
    <s v="ETO-RD-AR 204/2026 _x000a_TR: 5723118030 _x000a_ _x000a_TRAFO RETIRADO _x000a_POTÊNCIA : 15KVA _x000a_TENSÃO :_x0009_ 34,5KV _x000a_Nº ENERGISA (CITD) : 06016673 _x000a_Nº DE SÉRIE : 965782 _x000a_MARCA : ITB _x000a_DATA FABRICAÇÃO : 08/2015 _x000a_IMPEDANCIA : 3,14 _x000a_POS. TAP : 03 _x000a_ _x000a_TRAFO INSTALADO _x000a_POTÊNCIA : 15KVA _x000a_TENSÃO :_x0009_ 34,5KV _x000a_Nº ENERGISA (CITD) : 149246 _x000a_Nº DE SÉRIE : 820232 _x000a_MARCA : TRAEL _x000a_DATA FABRICAÇÃO : 11/2025 _x000a_IMPEDANCIA : 3,0 _x000a_POS. TAP : 03 _x000a_"/>
  </r>
  <r>
    <x v="13"/>
    <s v="fev"/>
    <x v="0"/>
    <x v="0"/>
    <s v="EXPURGO"/>
    <x v="0"/>
    <s v="esteira 1.582"/>
    <s v="FORA DA JANELA DA CRÍTICA"/>
    <n v="5700382016"/>
    <s v="ENC-MLAR01  000077/2026"/>
    <n v="612600167"/>
    <s v="2026-02-08 11:20"/>
    <s v="2026-02-09 18:35"/>
    <s v="FORMS SUBST DE TRANSFORMADOR"/>
    <s v="ETO-RD-AR"/>
    <s v="WANDERLANDIA"/>
    <s v="QUEIMADO"/>
    <s v="DESCARGA ATMOSFÉRICA"/>
    <s v="179561"/>
    <n v="820183"/>
    <s v="sim"/>
    <m/>
    <m/>
    <m/>
    <m/>
    <s v="SIM"/>
    <s v="leitura caso a caso"/>
    <s v="Fora do indicador: a SS não cai na janela de nenhuma interrupção."/>
    <s v="trafo queimado, caiu uma descarga no mesmo pararaio queimado"/>
    <s v="SS ETO-RD-AR 268/2026 _x000a_TRAFO 5700382016 _x000a_ _x000a_ _x000a_ _x000a_TRAFO RETIRADO _x000a_POTÊNCIA : 15KVA _x000a_TENSÃO :_x0009_ 34.5KV _x000a_Nº ENERGISA (CITD) : 145435 _x000a_Nº DE SÉRIE : 179561 _x000a_MARCA : TRAEL _x000a_DATA FABRICAÇÃO : 02/2002 _x000a_IMPEDANCIA : 2.98 _x000a_POS. TAP : 03 _x000a_ _x000a_TRAFO INSTALADO' _x000a_POTÊNCIA : 15KVA _x000a_TENSÃO :_x0009_ 34.5KV _x000a_Nº ENERGISA (CITD) : 149197 _x000a_Nº DE SÉRIE : 820183 _x000a_MARCA : TRAEL _x000a_DATA FABRICAÇÃO : NOV/2025 _x000a_IMPEDANCIA : 3.0 _x000a_POS. TAP : 03 _x000a_"/>
  </r>
  <r>
    <x v="14"/>
    <s v="fev"/>
    <x v="0"/>
    <x v="0"/>
    <s v="EXPURGO"/>
    <x v="0"/>
    <s v="esteira 1.582"/>
    <s v="FORA DA JANELA DA CRÍTICA"/>
    <n v="5710058153"/>
    <s v="ETO-RD-GR  000311/2026"/>
    <n v="712600155"/>
    <s v="2026-02-16 12:35"/>
    <s v="2026-02-17 20:56"/>
    <s v="FORMS SUBST DE TRANSFORMADOR"/>
    <s v="ETO-RD-GR"/>
    <s v="BERNARDO SAYAO"/>
    <s v="QUEIMADO"/>
    <s v="DESCARGA ATMOSFÉRICA"/>
    <m/>
    <m/>
    <s v="não"/>
    <m/>
    <m/>
    <m/>
    <m/>
    <s v="SIM"/>
    <s v="leitura caso a caso"/>
    <s v="Fora do indicador: a SS não cai na janela de nenhuma interrupção."/>
    <s v="TR-5710058153 Queimadopara raios QUEIMADO potência 15kvatensão 34,5kvacesso CAMINHONETEequipe 025op01 tel-63992452770"/>
    <s v="TR-5710058153 Queimado _x000a_para raios QUEIMADO  _x000a_potência 15kva _x000a_tensão 34,5kv _x000a_acesso CAMINHONETE _x000a_equipe 025op01 tel-63992452770"/>
  </r>
  <r>
    <x v="15"/>
    <s v="mar"/>
    <x v="0"/>
    <x v="0"/>
    <s v="EXPURGO"/>
    <x v="0"/>
    <s v="esteira 1.582"/>
    <s v="FORA DA JANELA DA CRÍTICA"/>
    <n v="5704202122"/>
    <s v="DLP-MPPA01  000086/2026"/>
    <n v="112600587"/>
    <s v="2026-03-10 16:17"/>
    <s v="2026-03-23 08:50"/>
    <s v="AVISO DE ANOMALIA"/>
    <s v="DOLP-RD-PA"/>
    <s v="PALMAS"/>
    <s v="QUEIMADO"/>
    <s v="BUCHA DANIFICADA"/>
    <s v="238663"/>
    <n v="267955"/>
    <s v="sim"/>
    <m/>
    <m/>
    <m/>
    <m/>
    <s v="não"/>
    <s v="leitura caso a caso"/>
    <s v="Fora do indicador: a SS não cai na janela de nenhuma interrupção."/>
    <s v="Segue esse para substituição de TF queimado (bucha do TF) 5704202122ID: 50688272"/>
    <s v="MEDIDO_ _x000a_ _x000a_EMERGENCIAL_ _x000a_ _x000a_ _x000a_Segue esse para substituição de TF queimado (bucha do TF) 5704202122 _x000a_ID: 50688272 _x000a_ _x000a_ _x000a_ _x000a_DADOS ATENDIMENTO _x000a_EQUIPE DOLP-MPPA01 _x000a_ENCARREGADO - IBANEZ RODRIGUES _x000a_CONTATO - (63) 99295-9499 _x000a_ _x000a_SS DOLP-RD-PA 338/2026 _x000a_ _x000a_ _x000a_ATENDIMENTO REALIZADO DIA 07/03/2026 EM CONJUNTO COM A SS DOLP-RD-PA 324/2026. _x000a_ _x000a_ _x000a_ _x000a_ _x000a_*********** Parecer do COCM - ordem de serviço baixada sistemicamente, empreiteira estará fazendo as baixa de material e lançamento de mão de obra."/>
  </r>
  <r>
    <x v="16"/>
    <s v="mar"/>
    <x v="0"/>
    <x v="0"/>
    <s v="EXPURGO"/>
    <x v="0"/>
    <s v="esteira 1.582"/>
    <s v="FORA DA JANELA DA CRÍTICA"/>
    <n v="5700368012"/>
    <s v="ENC-LMPS04  000055/2026"/>
    <n v="212600335"/>
    <s v="2026-03-20 18:48"/>
    <s v="2026-03-21 12:00"/>
    <s v="FORMS SUBST DE TRANSFORMADOR"/>
    <s v="ENC-RD-PS"/>
    <s v="DIVINOPOLIS DO TOCANTINS"/>
    <s v="QUEIMADO"/>
    <s v="DESCARGA ATMOSFÉRICA"/>
    <s v="473642"/>
    <n v="828112"/>
    <s v="sim"/>
    <m/>
    <m/>
    <m/>
    <m/>
    <s v="SIM"/>
    <s v="leitura caso a caso"/>
    <s v="Fora do indicador: a SS não cai na janela de nenhuma interrupção."/>
    <s v="Segue ss para tratativa com equipe de manutençao o quanto antessubstituir trafo 5700368012 queimado na rdr de divinopoles"/>
    <s v="SS ENC-RD-PS 376/2026 _x000a_ trafo 5700368012  _x000a_ _x000a_ _x000a_ _x000a_ _x000a_TRAFO RETIRADO _x000a_POTÊNCIA : 5KVA _x000a_TENSÃO :_x0009_ 34.5KV _x000a_Nº ENERGISA (CITD) : 23196 _x000a_Nº DE SÉRIE : 473642 _x000a_MARCA : ITB _x000a_DATA FABRICAÇÃO : 07/2007 _x000a_IMPEDANCIA : 2.81 _x000a_POS. TAP : 03 _x000a_ _x000a_TRAFO INSTALADO' _x000a_POTÊNCIA : 15KVA _x000a_TENSÃO :_x0009_ 34.5KV _x000a_Nº ENERGISA (CITD) : 150389 _x000a_Nº DE SÉRIE : 828112 _x000a_MARCA : TRAEL _x000a_DATA FABRICAÇÃO : 02/2026 _x000a_IMPEDANCIA : 3.0 _x000a_POS. TAP : 03 _x000a_"/>
  </r>
  <r>
    <x v="17"/>
    <s v="mar"/>
    <x v="0"/>
    <x v="0"/>
    <s v="EXPURGO"/>
    <x v="1"/>
    <s v="esteira 1.582"/>
    <s v="FORA DA JANELA DA CRÍTICA"/>
    <n v="5701543077"/>
    <s v="ENC-MLAR05  000152/2026"/>
    <n v="612600303"/>
    <s v="2026-03-11 21:10"/>
    <s v="2026-03-12 15:50"/>
    <s v="FORMS SUBST DE TRANSFORMADOR"/>
    <s v="ETO-RD-AR"/>
    <s v="GOIATINS"/>
    <s v="AVARIADO"/>
    <s v="VAZAMENTO DE ÓLEO"/>
    <s v="239355"/>
    <n v="379977"/>
    <s v="sim"/>
    <m/>
    <m/>
    <m/>
    <m/>
    <s v="não"/>
    <s v="leitura caso a caso"/>
    <s v="Fora do indicador: a SS não cai na janela de nenhuma interrupção."/>
    <s v="TR-5701543077 vazando oleo para raios bompotência 5kvatensão 34,5kvacesso livreequipe 077op02 tel-63992409718"/>
    <s v="ETO-RD-AR 463/2026 _x000a_TRAFO 5701543077 _x000a_TRAFO RETIRADO _x000a_POTÊNCIA : 5 KVA _x000a_TENSÃO :_x0009_ 13.8 KV _x000a_Nº ENERGISA (CITD) : 014435 _x000a_Nº DE SÉRIE : 239355 _x000a_MARCA : TRAEL _x000a_DATA FABRICAÇÃO : 10/2011 _x000a_IMPEDANCIA : 2,81 _x000a_POS. TAP : 03 _x000a_ _x000a_TRAFO INSTALADO _x000a_POTÊNCIA : 15 KVA _x000a_TENSÃO :_x0009_ 13.8 KV _x000a_Nº ENERGISA (CITD) : 148725 _x000a_Nº DE SÉRIE : 379977 _x000a_MARCA : TRAEL _x000a_DATA FABRICAÇÃO : 04/2016  _x000a_IMPEDANCIA : 2,73 _x000a_POS. TAP : 05 _x000a_"/>
  </r>
  <r>
    <x v="18"/>
    <s v="mar"/>
    <x v="0"/>
    <x v="0"/>
    <s v="EXPURGO"/>
    <x v="0"/>
    <s v="esteira 1.582"/>
    <s v="FORA DA JANELA DA CRÍTICA"/>
    <n v="5700322060"/>
    <s v="ENC-MLAR01  000152/2026"/>
    <n v="612600337"/>
    <s v="2026-03-24 17:26"/>
    <s v="2026-03-25 12:10"/>
    <s v="FORMS SUBST DE TRANSFORMADOR"/>
    <s v="ETO-RD-AR"/>
    <s v="NOVA OLINDA"/>
    <s v="QUEIMADO"/>
    <s v="NÃO IDENTIFICADO"/>
    <s v="178008"/>
    <m/>
    <s v="não"/>
    <m/>
    <m/>
    <m/>
    <m/>
    <s v="SIM"/>
    <s v="leitura caso a caso"/>
    <s v="Fora do indicador: a SS não cai na janela de nenhuma interrupção."/>
    <s v="SEGUE SS DE TRAFO QUEIMADO NA RDR DE NOVA OLINDA, TRAFO DE 15KVA NA REDE DE 7.8KV, PARA RAIO QUEIMADO E ACESSO LIVRE."/>
    <s v="ETO-RD-AR 551/2026 _x000a_TRAFO 5700322060 _x000a_TRAFO RETIRADO _x000a_POTÊNCIA : 15 KVA _x000a_TENSÃO :_x0009_ 13.8 KV _x000a_Nº ENERGISA (CITD) : P8322 _x000a_Nº DE SÉRIE : 178008 _x000a_MARCA : ABB _x000a_DATA FABRICAÇÃO : 02/2001 _x000a_IMPEDANCIA : 2,36 _x000a_POS. TAP : 03 _x000a_ _x000a_TRAFO INSTALADO _x000a_POTÊNCIA : 15 KVA _x000a_TENSÃO :_x0009_ 13.8 KV _x000a_Nº ENERGISA (CITD) : 149855 _x000a_Nº DE SÉRIE : C297819 _x000a_MARCA : ITAM _x000a_DATA FABRICAÇÃO : 12/2025 _x000a_IMPEDANCIA : 2,61 _x000a_POS. TAP : 05 _x000a_"/>
  </r>
  <r>
    <x v="19"/>
    <s v="mar"/>
    <x v="0"/>
    <x v="0"/>
    <s v="EXPURGO"/>
    <x v="0"/>
    <s v="esteira 1.582"/>
    <s v="FORA DA JANELA DA CRÍTICA"/>
    <n v="5700799193"/>
    <s v="ENC-MLAR03  000036/2026"/>
    <n v="612600363"/>
    <s v="2026-03-31 20:47"/>
    <s v="2026-04-01 18:43"/>
    <s v="FORMS SUBST DE TRANSFORMADOR"/>
    <s v="ETO-RD-AR"/>
    <s v="CAMPOS LINDOS"/>
    <s v="QUEIMADO"/>
    <s v="DESCARGA ATMOSFÉRICA"/>
    <s v="179110"/>
    <n v="827956"/>
    <s v="sim"/>
    <m/>
    <m/>
    <m/>
    <m/>
    <s v="SIM"/>
    <s v="leitura caso a caso"/>
    <s v="Fora do indicador: a SS não cai na janela de nenhuma interrupção."/>
    <s v="Trafo 5700799193  15kvaPara-raio: Queimado Endereço: fazenda arueira saindo povoado RanchariaEquipe: 193op02"/>
    <s v="ETO-RD-AR 583/2026 _x000a_TRAFO 5700799193 _x000a_TRAFO RETIRADO _x000a_POTÊNCIA : 5 KVA _x000a_TENSÃO :_x0009_ 34.5 KV _x000a_Nº ENERGISA (CITD) : ILEGIVEL _x000a_Nº DE SÉRIE : 179110 _x000a_MARCA : VIJAI _x000a_DATA FABRICAÇÃO : 09/2010 _x000a_IMPEDANCIA : 3,17 _x000a_POS. TAP : 05 _x000a_ _x000a_TRAFO INSTALADO _x000a_POTÊNCIA : 15 KVA _x000a_TENSÃO :_x0009_ 34.5 KV _x000a_Nº ENERGISA (CITD) : 150233 _x000a_Nº DE SÉRIE : 827956 _x000a_MARCA : TRAEL _x000a_DATA FABRICAÇÃO : 02/2026 _x000a_IMPEDANCIA : 3,0 _x000a_POS. TAP : 05 _x000a_"/>
  </r>
  <r>
    <x v="20"/>
    <s v="mar"/>
    <x v="0"/>
    <x v="0"/>
    <s v="EXPURGO"/>
    <x v="0"/>
    <s v="esteira 1.582"/>
    <s v="FORA DA JANELA DA CRÍTICA"/>
    <n v="5700230116"/>
    <s v="ETO-MLDP01  000075/2026"/>
    <n v="512600126"/>
    <s v="2026-03-23 13:59"/>
    <s v="2026-03-25 13:30"/>
    <s v="FORMS SUBST DE TRANSFORMADOR"/>
    <s v="ETO-RD-DP"/>
    <s v="PINDORAMA DO TOCANTINS"/>
    <s v="QUEIMADO"/>
    <s v="DESCARGA ATMOSFÉRICA"/>
    <s v="587813"/>
    <n v="251616"/>
    <s v="sim"/>
    <m/>
    <m/>
    <m/>
    <m/>
    <s v="SIM"/>
    <s v="leitura caso a caso"/>
    <s v="Fora do indicador: a SS não cai na janela de nenhuma interrupção."/>
    <s v="TRANSFORMADOR QUEIMADO 5700230116 5kva e para raio queimado na 19,9 acesso caminhonete  equipe 096op01 992400102"/>
    <s v="TRANSFORMADOR QUEIMADO 5700230116 5kva e para raio queimado na 19,9 acesso caminhonete  equipe 096op01 992400102"/>
  </r>
  <r>
    <x v="21"/>
    <s v="mar"/>
    <x v="0"/>
    <x v="0"/>
    <s v="EXPURGO"/>
    <x v="1"/>
    <s v="esteira 1.582"/>
    <s v="FORA DA JANELA DA CRÍTICA"/>
    <n v="5700018155"/>
    <s v="ENC-MLAR03  000028/2026"/>
    <n v="712600276"/>
    <s v="2026-03-27 09:49"/>
    <s v="2026-03-27 17:00"/>
    <s v="FORMS SUBST DE TRANSFORMADOR"/>
    <s v="ETO-RD-GR"/>
    <s v="PALMEIRANTE"/>
    <s v="AVARIADO"/>
    <s v="VAZAMENTO DE ÓLEO"/>
    <s v="352737"/>
    <n v="827950"/>
    <s v="sim"/>
    <m/>
    <m/>
    <s v="CHAVE FUSIVEL/RELIGADORA"/>
    <s v="PORTA-FUSIVEL DANIFICADO"/>
    <s v="SIM"/>
    <s v="leitura caso a caso"/>
    <s v="Fora do indicador: a SS não cai na janela de nenhuma interrupção."/>
    <s v="trafo 5700018155 com vazamento de óleo - 25KVA - 19,9KV - para raio queimado substituir poste 10/200 estrutura U1/S1 - danificado na base. RDU do Povoado Cicilândia RDR Palmeirante"/>
    <s v="TROCA DE TRAFO AVARIADO 5700018155 ETO-RD-GR 387/2026 ZONA RURAL - PALMEIRANTE 0155 _x000a_ _x000a_TRAFO RETIRADO _x000a_POTÊNCIA : 25KVA _x000a_TENSÃO : 19.9KV_x0009_ _x000a_Nº ENERGISA (CITD) : ILEGIVEL _x000a_Nº DE SÉRIE : 352737 _x000a_MARCA : TRAEL _x000a_DATA FABRICAÇÃO : 10/2015 _x000a_IMPEDANCIA : 2.84 _x000a_POS. TAP : 03 _x000a_ _x000a_TRAFO INSTALADO _x000a_POTÊNCIA : 15KVA _x000a_TENSÃO : 19.9KV_x0009_ _x000a_Nº ENERGISA (CITD) : 150227 _x000a_Nº DE SÉRIE : 827950 _x000a_MARCA : TRAEL _x000a_DATA FABRICAÇÃO : 02/2026 _x000a_IMPEDANCIA : 3.0 _x000a_POS. TAP : 03 _x000a_ _x000a_MEDIÇÃO 1: 07.95 _x000a_MEDIÇÃO 2: 06.50 _x000a_MEDIÇÃO 3: 05.83 _x000a_ _x000a_COORDENADA _x000a_X: 828148 _x000a_Y: 9148054 _x000a_ _x000a_ _x000a_ _x000a_SERVIÇO EM CONJUNTO COM A OS ENC-MLAR03 29/2026."/>
  </r>
  <r>
    <x v="22"/>
    <s v="mar"/>
    <x v="0"/>
    <x v="0"/>
    <s v="EXPURGO"/>
    <x v="0"/>
    <s v="esteira 1.582"/>
    <s v="FORA DA JANELA DA CRÍTICA"/>
    <n v="5700039076"/>
    <s v="DBM-MLDB03  000067/2026"/>
    <n v="412600331"/>
    <s v="2026-03-26 10:34"/>
    <s v="2026-03-29 13:49"/>
    <s v="FORMS SUBST DE TRANSFORMADOR"/>
    <s v="ETO-RD-GU"/>
    <s v="DUERE"/>
    <s v="QUEIMADO"/>
    <s v="NÃO IDENTIFICADO"/>
    <s v="1574224"/>
    <n v="828021"/>
    <s v="sim"/>
    <m/>
    <m/>
    <m/>
    <m/>
    <s v="SIM"/>
    <s v="leitura caso a caso"/>
    <s v="Fora do indicador: a SS não cai na janela de nenhuma interrupção."/>
    <s v="SEGUE SS DE TRAFO QUEIMADO NA RDR DE DUERE, TRAFO DE 15KVA NA REDE DE 19.9KV, PARA RAIO QUEIMADO E ACESSO LIVRE."/>
    <s v="SUBSTITUIÇÃO DE TRANSFORMADOR NA RDR DE PEIXE _x000a_ _x000a_SS: ETO-D-GU 390/2026 _x000a_ _x000a_ESPECIFICAÇÕES DO TRANSFORMADOR _x000a_ _x000a_TRANSFORMADOR INSTALADO:  15 KVA _x000a_ _x000a_TRANSFORMADOR RETIRADO: 15 KVA _x000a_ _x000a_MEDIÇÕES _x000a_ _x000a_LOGO APÓS A TROCA  _x000a_ _x000a_VAN: 208 _x000a_ _x000a_VBN: 209 _x000a_ _x000a_OBS:SUBSTITUIÇÃO DE TRANSFORMADOR AUTORIZADA PELO DIONE. _x000a_"/>
  </r>
  <r>
    <x v="23"/>
    <s v="abr"/>
    <x v="0"/>
    <x v="0"/>
    <s v="EXPURGO"/>
    <x v="0"/>
    <s v="esteira 1.582"/>
    <s v="FORA DA JANELA DA CRÍTICA"/>
    <n v="5701214055"/>
    <s v="ENC-LMPS03  000077/2026"/>
    <n v="212600452"/>
    <s v="2026-04-28 09:30"/>
    <s v="2026-04-30 21:05"/>
    <s v="FORMS SUBST DE TRANSFORMADOR"/>
    <s v="ENC-RD-PS"/>
    <s v="ARAGUACEMA"/>
    <s v="QUEIMADO"/>
    <s v="VAZAMENTO DE ÓLEO"/>
    <s v="723749"/>
    <m/>
    <s v="não"/>
    <m/>
    <m/>
    <m/>
    <m/>
    <s v="SIM"/>
    <s v="leitura caso a caso"/>
    <s v="Fora do indicador: a SS não cai na janela de nenhuma interrupção."/>
    <s v="TR 5701214055QUEIMADO ACESSO LIVRE CAMINHONETE 5KVATENSAO 34500PARA RAIO DANIFICADO 055OP01"/>
    <s v="SS ENC-RD-PS 481/2026 _x000a_TR 5701214055 _x000a_ _x000a_ _x000a_ _x000a_ _x000a_TRAFO RETIRADO _x000a_POTÊNCIA : 5KVA _x000a_TENSÃO :_x0009_ 34.5KV _x000a_Nº ENERGISA (CITD) : 06003407 _x000a_Nº DE SÉRIE : 723749 _x000a_MARCA : ITB _x000a_DATA FABRICAÇÃO : 03/2011 _x000a_IMPEDANCIA : 3.21 _x000a_POS. TAP : 03 _x000a_ _x000a_TRAFO INSTALADO' _x000a_POTÊNCIA : 15KVA _x000a_TENSÃO :_x0009_ 34.5KV _x000a_Nº ENERGISA (CITD) : 150972 _x000a_Nº DE SÉRIE : C303352 _x000a_MARCA : ITAM _x000a_DATA FABRICAÇÃO : 02/2026 _x000a_IMPEDANCIA : 2.91 _x000a_POS. TAP : 03 _x000a_"/>
  </r>
  <r>
    <x v="24"/>
    <s v="abr"/>
    <x v="0"/>
    <x v="0"/>
    <s v="EXPURGO"/>
    <x v="1"/>
    <s v="esteira 1.582"/>
    <s v="FORA DA JANELA DA CRÍTICA"/>
    <n v="5743290004"/>
    <s v="ENC-MLAR03  000058/2026"/>
    <n v="612600477"/>
    <s v="2026-04-30 11:05"/>
    <s v="2026-04-30 16:30"/>
    <s v="FORMS SUBST DE TRANSFORMADOR"/>
    <s v="ETO-RD-AR"/>
    <s v="ARAGUAINA"/>
    <s v="AVARIADO"/>
    <s v="VAZAMENTO DE ÓLEO"/>
    <s v="457539"/>
    <n v="330076"/>
    <s v="sim"/>
    <m/>
    <m/>
    <m/>
    <m/>
    <s v="SIM"/>
    <s v="leitura caso a caso"/>
    <s v="Fora do indicador: a SS não cai na janela de nenhuma interrupção."/>
    <s v="Trafo 5743290004  75kvaAcesso: livra na RDU de AraguainaSetor: Costa esmeraldoEquipe: de manutenção encontrou o defeito vazando oléo e saindo fumaça pela bucha que foi feito reparo"/>
    <s v="ETO-RD-AR 774/2026 _x000a_TRAFO 5743290004 _x000a_TRAFO RETIRADO _x000a_POTÊNCIA : 75 KVA _x000a_TENSÃO :_x0009_ 13.8 KV _x000a_Nº ENERGISA (CITD) : 126527 _x000a_Nº DE SÉRIE : 457539 _x000a_MARCA : POTENCIAL _x000a_DATA FABRICAÇÃO : 02/2018 _x000a_IMPEDANCIA : 3,5 _x000a_POS. TAP : 04 _x000a_ _x000a_TRAFO INSTALADO _x000a_POTÊNCIA : 75 KVA _x000a_TENSÃO :_x0009_ 13.8 KV _x000a_Nº ENERGISA (CITD) : 148662 _x000a_Nº DE SÉRIE : 330076 _x000a_MARCA : TRAEL _x000a_DATA FABRICAÇÃO : 10/2024 _x000a_IMPEDANCIA : 3,52 _x000a_POS. TAP :  _x000a_"/>
  </r>
  <r>
    <x v="25"/>
    <s v="abr"/>
    <x v="0"/>
    <x v="0"/>
    <s v="EXPURGO"/>
    <x v="0"/>
    <s v="esteira 1.582"/>
    <s v="FORA DA JANELA DA CRÍTICA"/>
    <n v="5710404111"/>
    <s v="ENC-MLGR01  000116/2026"/>
    <n v="712600315"/>
    <s v="2026-04-22 07:20"/>
    <s v="2026-04-21 16:43"/>
    <s v="FORMS SUBST DE TRANSFORMADOR"/>
    <s v="ETO-RD-GR"/>
    <s v="PEQUIZEIRO"/>
    <s v="QUEIMADO"/>
    <s v="DESCARGA ATMOSFÉRICA"/>
    <s v="178699"/>
    <n v="827778"/>
    <s v="sim"/>
    <m/>
    <m/>
    <s v="TRANSFORMADOR"/>
    <s v="QUEIMADO POR DESCARGA ATMOSFERICA"/>
    <s v="SIM"/>
    <s v="leitura caso a caso"/>
    <s v="Fora do indicador: a SS não cai na janela de nenhuma interrupção."/>
    <s v="TRAFO QUEIMADO DE 15KVA DA 19.9. PARA RAIOS QUEIMADO. ACESSO BOM. 01 CLIENTE PENALIZADO."/>
    <s v="TROCA DE TRAFO QUEIMADO 5710404111 ETO-RD-GR 466/2026 ZONA RURAL - PEQUIZEIRO 0111 _x000a_ _x000a_TRAFO RETIRADO _x000a_POTÊNCIA : 15KVA _x000a_TENSÃO : 19.9KV_x0009_ _x000a_Nº ENERGISA (CITD) : CI2706004935 _x000a_Nº DE SÉRIE : 178699 _x000a_MARCA : ABB - IMTEL _x000a_DATA FABRICAÇÃO : 01/2002 - 03/2013 _x000a_IMPEDANCIA : 3 _x000a_POS. TAP : 01 _x000a_ _x000a_TRAFO INSTALADO _x000a_POTÊNCIA : 15KVA _x000a_TENSÃO : 19.9KV_x0009_ _x000a_Nº ENERGISA (CITD) : 150055 _x000a_Nº DE SÉRIE : 827778 _x000a_MARCA : TRAEL _x000a_DATA FABRICAÇÃO : 02/2026 _x000a_IMPEDANCIA : 3.0 _x000a_POS. TAP : 02 _x000a_ _x000a_MEDIÇÃO 1: 25.58 _x000a_MEDIÇÃO 2: 21.53 _x000a_MEDIÇÃO 3: 16.40 _x000a_ _x000a_COORDENADA _x000a_X: 731871 _x000a_Y: 9093269 _x000a_"/>
  </r>
  <r>
    <x v="26"/>
    <s v="abr"/>
    <x v="0"/>
    <x v="0"/>
    <s v="EXPURGO"/>
    <x v="1"/>
    <s v="esteira 1.582"/>
    <s v="FORA DA JANELA DA CRÍTICA"/>
    <n v="5710235032"/>
    <s v="DBM-MLDB03  000075/2026"/>
    <n v="412600345"/>
    <s v="2026-04-06 10:49"/>
    <s v="2026-04-06 22:00"/>
    <s v="FORMS SUBST DE TRANSFORMADOR"/>
    <s v="ETO-RD-GU"/>
    <s v="NOVO PLANALTO"/>
    <s v="QUEIMADO"/>
    <s v="BUCHA DANIFICADA"/>
    <s v="536046"/>
    <n v="828113"/>
    <s v="sim"/>
    <s v="POSTE DE AT"/>
    <s v="QUEBRADO"/>
    <m/>
    <m/>
    <s v="não"/>
    <s v="leitura caso a caso"/>
    <s v="Fora do indicador: a SS não cai na janela de nenhuma interrupção."/>
    <s v="trafo 5710235032 queimado  de 15 kva rdr de araguaçu tensão 19.9 kv acesso livre  e poste quebrado id 42840335 10/300 cabo AA / 4."/>
    <s v="SUBSTITUIÇÃO DE TRANSFORMADOR NA RDR DE ARAGUAÇU _x000a_ _x000a_INT: 20264257975458 _x000a_ _x000a_SS: ETO-RD-GU 429/2026 _x000a_ _x000a_ESPECIFICAÇÕES DO TRANSFORMADOR _x000a_ _x000a_TRANSFORMADOR INSTALADO:  15 KVA _x000a_ _x000a_TRANSFORMADOR RETIRADO: 15 KVA _x000a_ _x000a_MEDIÇÕES _x000a_ _x000a_LOGO APÓS A TROCA  _x000a_ _x000a_VAN: 223 _x000a_ _x000a_VBN: 221 _x000a_ _x000a_OBS:SUBSTITUIÇÃO DE TRANSFORMADOR AUTORIZADA PELO DIONE. _x000a_ _x000a_"/>
  </r>
  <r>
    <x v="27"/>
    <s v="jun"/>
    <x v="0"/>
    <x v="0"/>
    <s v="EXPURGO"/>
    <x v="0"/>
    <s v="esteira 1.582"/>
    <s v="FORA DA JANELA DA CRÍTICA"/>
    <n v="5746488122"/>
    <s v="DLP-CTPA00  000107/2026"/>
    <n v="112600604"/>
    <s v="2026-06-07 14:26"/>
    <s v="2026-06-07 18:00"/>
    <s v="FORMS SUBST DE TRANSFORMADOR"/>
    <s v="DOLP-RD-PA"/>
    <s v="PALMAS"/>
    <s v="QUEIMADO"/>
    <s v="BUCHA DANIFICADA"/>
    <s v="437872"/>
    <n v="606278"/>
    <s v="sim"/>
    <m/>
    <m/>
    <m/>
    <m/>
    <s v="SIM"/>
    <s v="leitura caso a caso"/>
    <s v="Fora do indicador: a SS não cai na janela de nenhuma interrupção."/>
    <s v="segue nota de trafo queimado, trafo 5745488122, trafo de 45kva, tensao 34,500kv, bitola caboAA / 2, para raio danificado, acesso livre, elo 2H. ramal do piabanha"/>
    <s v="MEDIDO_ _x000a_ _x000a_EMERGENCIAL_ _x000a_ _x000a_ _x000a_segue nota de trafo queimado, trafo 5745488122, trafo de 45kva, tensao 34,500kv, bitola caboAA / 2,  _x000a_para raio danificado, acesso livre, elo 2H. ramal do piabanha _x000a_"/>
  </r>
  <r>
    <x v="28"/>
    <s v="jun"/>
    <x v="0"/>
    <x v="0"/>
    <s v="EXPURGO"/>
    <x v="0"/>
    <s v="esteira 1.582"/>
    <s v="FORA DA JANELA DA CRÍTICA"/>
    <n v="5753306085"/>
    <s v="ENC-LMPS01  000152/2026"/>
    <n v="212600554"/>
    <s v="2026-06-24 12:13"/>
    <s v="2026-06-25 12:55"/>
    <s v="FORMS SUBST DE TRANSFORMADOR"/>
    <s v="ENC-RD-PS"/>
    <s v="MONTE SANTO DO TOCANTINS"/>
    <s v="QUEIMADO"/>
    <s v="SOBRECARGA"/>
    <s v="182924"/>
    <n v="602384"/>
    <s v="sim"/>
    <m/>
    <m/>
    <m/>
    <m/>
    <s v="SIM"/>
    <s v="leitura caso a caso"/>
    <s v="Fora do indicador: a Crítica registra defeito aberto neste transformador, mas em data que não cabe na janela desta SS."/>
    <s v="TRAFO QUEIMADO  5753306085 30KVA 34,5KV, QUE ATENDE GARIMPO. CARGAS A REVELIA"/>
    <s v="SS ENC-RD-PS 601/2026 _x000a_TRAFO  5753306085  _x000a_ _x000a_ _x000a_TRAFO RETIRADO _x000a_POTÊNCIA : 30KVA _x000a_TENSÃO :_x0009_ 34.5KV _x000a_Nº ENERGISA (CITD) : 109811 _x000a_Nº DE SÉRIE : 182924 _x000a_MARCA : TRAEL _x000a_DATA FABRICAÇÃO : 01/2001 _x000a_IMPEDANCIA : 4.06 _x000a_POS. TAP : 04 _x000a_ _x000a_TRAFO INSTALADO' _x000a_POTÊNCIA :  75KVA _x000a_TENSÃO :_x0009_ 34.5KV _x000a_Nº ENERGISA (CITD) : 149918 _x000a_Nº DE SÉRIE : 602384 _x000a_MARCA : ITAIPU _x000a_DATA FABRICAÇÃO : 01/2026 _x000a_IMPEDANCIA : 3.77 _x000a_POS. TAP : 02 _x000a_"/>
  </r>
  <r>
    <x v="29"/>
    <s v="jun"/>
    <x v="0"/>
    <x v="0"/>
    <s v="EXPURGO"/>
    <x v="0"/>
    <s v="esteira 1.582"/>
    <s v="FORA DA JANELA DA CRÍTICA"/>
    <n v="5710093157"/>
    <s v="ENC-MLAR01  000242/2026"/>
    <n v="612600627"/>
    <s v="2026-06-18 17:27"/>
    <s v="2026-06-19 16:20"/>
    <s v="FORMS SUBST DE TRANSFORMADOR"/>
    <s v="ETO-RD-AR"/>
    <s v="ARAGUANA"/>
    <s v="QUEIMADO"/>
    <s v="NÃO IDENTIFICADO"/>
    <s v="395690"/>
    <m/>
    <s v="não"/>
    <s v="MEIO AMBIENTE"/>
    <s v="ARVORE DE PEQUENO/ MEDIO PORTE NA REDE / NA FAIXA"/>
    <m/>
    <m/>
    <s v="SIM"/>
    <s v="leitura caso a caso"/>
    <s v="Fora do indicador: a SS não cai na janela de nenhuma interrupção."/>
    <s v="Trafo 5710093157  45kva queimadoPara-raio: QueimadoAcesso: livreEndereço: IND FAZENDA BARRA DO RIO LONTRA, 0Equipe: 030op01"/>
    <s v="ETO-RD-AR 992/2026 _x000a_TRAFO 5710093157 _x000a_TRAFO RETIRADO _x000a_POTÊNCIA : 45 KVA _x000a_TENSÃO :_x0009_ 34.5 KV _x000a_Nº ENERGISA (CITD) : 130805 _x000a_Nº DE SÉRIE : 395690 _x000a_MARCA : TRAEL _x000a_DATA FABRICAÇÃO : 07/2016 _x000a_IMPEDANCIA : 4,04 _x000a_POS. TAP : 04 _x000a_ _x000a_TRAFO INSTALADO _x000a_POTÊNCIA : 45 KVA _x000a_TENSÃO :_x0009_ 34.5 KV _x000a_Nº ENERGISA (CITD) : 107053 _x000a_Nº DE SÉRIE : EA105A2 _x000a_MARCA : TRAEL _x000a_DATA FABRICAÇÃO : 2000 _x000a_IMPEDANCIA : 4,09 _x000a_POS. TAP : 04 _x000a_"/>
  </r>
  <r>
    <x v="30"/>
    <s v="jan"/>
    <x v="0"/>
    <x v="1"/>
    <s v="EXPURGO"/>
    <x v="0"/>
    <s v="esteira 1.582"/>
    <s v="AUSENTE DA CRÍTICA"/>
    <n v="5700121151"/>
    <s v="DLP-CTPA01  000001/2026"/>
    <n v="112600438"/>
    <s v="2026-01-02 15:28"/>
    <s v="2026-01-03 17:32"/>
    <s v="FORMS SUBST DE TRANSFORMADOR"/>
    <s v="DOLP-RD-PA"/>
    <s v="SANTA TEREZA DO TOCANTINS"/>
    <s v="QUEIMADO"/>
    <s v="NÃO IDENTIFICADO"/>
    <s v="185859"/>
    <n v="454942"/>
    <s v="sim"/>
    <m/>
    <m/>
    <m/>
    <m/>
    <s v="SIM"/>
    <s v="leitura caso a caso"/>
    <s v="Fora do indicador: o ativo não existe na base de interrupção. Sem registro de interrupção não há evento a medir."/>
    <s v="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s v="MEDIDO_ _x000a_ _x000a_EMERGENCIAL_ _x000a_ _x000a_ _x000a_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_x000a_ _x000a_EQUIPE: 833007 _x000a_ENCARREGADO: JOSE AILTON _x000a_ _x000a_NO TRAFO [5700121151]  _x000a_"/>
  </r>
  <r>
    <x v="31"/>
    <s v="jan"/>
    <x v="0"/>
    <x v="1"/>
    <s v="EXPURGO"/>
    <x v="1"/>
    <s v="esteira 1.582"/>
    <s v="AUSENTE DA CRÍTICA"/>
    <n v="5700307083"/>
    <s v="DLP-MLPA03  000004/2026"/>
    <n v="112600148"/>
    <s v="2026-01-25 20:09"/>
    <s v="2026-01-26 20:40"/>
    <s v="FORMS SUBST DE TRANSFORMADOR"/>
    <s v="DOLP-RD-PA"/>
    <s v="APARECIDA DO RIO NEGRO"/>
    <s v="QUEIMADO"/>
    <s v="VAZAMENTO DE ÓLEO"/>
    <s v="497936"/>
    <n v="1615822"/>
    <s v="sim"/>
    <s v="MEIO AMBIENTE"/>
    <s v="ARVORE DE GRANDE PORTE NA REDE / NA FAIX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para atendimento com equipe de manutenção , substituir trafo 5700307083 com VAZ. DE OLEO na RDR de aparecida do rio negro , acesso para CAMIONETE , para-raio queimado , tensão 34,5, potencia 5 kva"/>
    <s v="MEDIDO_ _x000a_ _x000a_EMERGENCIAL_ _x000a_ _x000a_Segue SS para atendimento com equipe de manutenção , substituir trafo 5700307083 com VAZ. DE OLEO na RDR de aparecida do rio negro , acesso para CAMIONETE , para-raio queimado , tensão 34,5, potencia 5 kva _x000a_ _x000a_DADOS ATENDIMENTO _x000a_ _x000a_EQUIPE: PALMA08M _x000a_LIDER: OLESMAR OLIVEIRA DE SOUZA        _x000a_CONTATO: 63 9296-9567 _x000a_DOLP-RD-PA 000125/2026 _x000a_DATA ATENDIMENTO: 268 _x000a_Atenção! _x000a_Não intervenha na rede sem autorização do COI (Centro de Operações Integradas) _x000a_"/>
  </r>
  <r>
    <x v="32"/>
    <s v="jan"/>
    <x v="0"/>
    <x v="1"/>
    <s v="EXPURGO"/>
    <x v="0"/>
    <s v="esteira 1.582"/>
    <s v="AUSENTE DA CRÍTICA"/>
    <n v="5700559233"/>
    <s v="ENC-LMPS01  000011/2026"/>
    <n v="212600049"/>
    <s v="2026-01-06 18:36"/>
    <s v="2026-01-07 18:56"/>
    <s v="FORMS SUBST DE TRANSFORMADOR"/>
    <s v="ENC-RD-PS"/>
    <s v="ABREULANDIA"/>
    <s v="QUEIMADO"/>
    <s v="DESCARGA ATMOSFÉRICA"/>
    <s v="525292"/>
    <m/>
    <s v="não"/>
    <m/>
    <m/>
    <m/>
    <m/>
    <s v="SIM"/>
    <s v="leitura caso a caso"/>
    <s v="Fora do indicador: o ativo não existe na base de interrupção. Sem registro de interrupção não há evento a medir."/>
    <s v="segue SS ´para tratativa com equipe de manutençao subtituir trafo 5700559233 na rdr de abreulandia"/>
    <s v=" SS ENC-RD-PS 24/2026 _x000a_ trafo 5700559233  _x000a_ _x000a_ _x000a_ _x000a_ _x000a_TRAFO RETIRADO _x000a_POTÊNCIA : 15KVA _x000a_TENSÃO :_x0009_ 34.5KV _x000a_Nº ENERGISA (CITD) : 122431 _x000a_Nº DE SÉRIE : 525292 _x000a_MARCA : TRAEL _x000a_DATA FABRICAÇÃO : 01/2020 _x000a_IMPEDANCIA : 2,91 _x000a_POS. TAP : 03 _x000a_ _x000a_TRAFO INSTALADO' _x000a_POTÊNCIA : 25KVA _x000a_TENSÃO :_x0009_ 34.5KV _x000a_Nº ENERGISA (CITD) : 144285 _x000a_Nº DE SÉRIE : Z 260816 _x000a_MARCA : ITAM _x000a_DATA FABRICAÇÃO : 12/2024 _x000a_IMPEDANCIA : 3.15 _x000a_POS. TAP : 03 _x000a_"/>
  </r>
  <r>
    <x v="33"/>
    <s v="jan"/>
    <x v="0"/>
    <x v="1"/>
    <s v="EXPURGO"/>
    <x v="0"/>
    <s v="esteira 1.582"/>
    <s v="AUSENTE DA CRÍTICA"/>
    <n v="5710028046"/>
    <s v="ENC-LMPS04  000011/2026"/>
    <n v="212600073"/>
    <s v="2026-01-11 10:38"/>
    <s v="2026-01-12 16:02"/>
    <s v="FORMS SUBST DE TRANSFORMADOR"/>
    <s v="ENC-RD-PS"/>
    <s v="NOVA ROSALANDIA"/>
    <s v="QUEIMADO"/>
    <s v="DESCARGA ATMOSFÉRICA"/>
    <s v="69095"/>
    <m/>
    <s v="não"/>
    <m/>
    <m/>
    <m/>
    <m/>
    <s v="SIM"/>
    <s v="leitura caso a caso"/>
    <s v="Fora do indicador: o ativo não existe na base de interrupção. Sem registro de interrupção não há evento a medir."/>
    <s v="TR 571002804610KVA13800PARA RAIO DANIFICADO ACESSO PARA CAMINHONETE (1)UC PENALIZADA EM CAMPO 046OP01 VILSON"/>
    <s v="SS ENC-RD-PS 44/2026 _x000a_TR 5710028046 _x000a_ _x000a_ _x000a_ _x000a_TRAFO RETIRADO _x000a_POTÊNCIA : 10KVA _x000a_TENSÃO :_x0009_ 13.8KV _x000a_Nº ENERGISA (CITD) : ILEGIVEL _x000a_Nº DE SÉRIE :69095 _x000a_MARCA : TRAEL _x000a_DATA FABRICAÇÃO : 11/2005 _x000a_IMPEDANCIA : 2.52 _x000a_POS. TAP : 01 _x000a_ _x000a_TRAFO INSTALADO' _x000a_POTÊNCIA : 15KVA _x000a_TENSÃO :_x0009_ 34.5KV _x000a_Nº ENERGISA (CITD) : 137057 _x000a_Nº DE SÉRIE : C237007 _x000a_MARCA : ITAM _x000a_DATA FABRICAÇÃO : 2023 _x000a_IMPEDANCIA : 2.41 _x000a_POS. TAP : 03 _x000a_ _x000a_"/>
  </r>
  <r>
    <x v="34"/>
    <s v="jan"/>
    <x v="0"/>
    <x v="1"/>
    <s v="EXPURGO"/>
    <x v="0"/>
    <s v="esteira 1.582"/>
    <s v="AUSENTE DA CRÍTICA"/>
    <n v="5701203084"/>
    <s v="ENC-LMPS04  000013/2026"/>
    <n v="212600080"/>
    <s v="2026-01-12 13:21"/>
    <s v="2026-01-14 16:40"/>
    <s v="FORMS SUBST DE TRANSFORMADOR"/>
    <s v="ENC-RD-PS"/>
    <s v="DIVINOPOLIS DO TOCANTINS"/>
    <s v="QUEIMADO"/>
    <s v="DESCARGA ATMOSFÉRICA"/>
    <s v="451481"/>
    <n v="290390"/>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para tratativa com equipe de manutençao o quanto antes susbtituir trafo 5701203084 queimado na rdr de divinopoles"/>
    <s v="SS ENC-RD-PS 54/2026 _x000a_ trafo 5701203084  _x000a_ _x000a_ _x000a_ _x000a_TRAFO RETIRADO _x000a_POTÊNCIA : 15KVA _x000a_TENSÃO :_x0009_ 34.5KV _x000a_Nº ENERGISA (CITD) : 06110358 _x000a_Nº DE SÉRIE : 451481 _x000a_MARCA : TRAEL _x000a_DATA FABRICAÇÃO : 12/2017 _x000a_IMPEDANCIA : 2.96 _x000a_POS. TAP : 03 _x000a_ _x000a_TRAFO INSTALADO' _x000a_POTÊNCIA : 15KVA _x000a_TENSÃO :_x0009_ 34.5KV _x000a_Nº ENERGISA (CITD) : 149797 _x000a_Nº DE SÉRIE : 290390 _x000a_MARCA : ITAM _x000a_DATA FABRICAÇÃO : 10/2025 _x000a_IMPEDANCIA : 3.28 _x000a_POS. TAP : 03 _x000a_"/>
  </r>
  <r>
    <x v="35"/>
    <s v="jan"/>
    <x v="0"/>
    <x v="1"/>
    <s v="EXPURGO"/>
    <x v="0"/>
    <s v="esteira 1.582"/>
    <s v="AUSENTE DA CRÍTICA"/>
    <n v="5710441149"/>
    <s v="ENC-LMPS04  000012/2026"/>
    <n v="212600077"/>
    <s v="2026-01-12 17:10"/>
    <s v="2026-01-13 20:09"/>
    <s v="FORMS SUBST DE TRANSFORMADOR"/>
    <s v="ENC-RD-PS"/>
    <s v="CASEARA"/>
    <s v="QUEIMADO"/>
    <s v="DESCARGA ATMOSFÉRICA"/>
    <s v="1568543"/>
    <n v="586759"/>
    <s v="sim"/>
    <m/>
    <m/>
    <m/>
    <m/>
    <s v="SIM"/>
    <s v="leitura caso a caso"/>
    <s v="Fora do indicador: o ativo não existe na base de interrupção. Sem registro de interrupção não há evento a medir."/>
    <s v="TR 571044114930KVAT 34500PARA RAIO DANIFICADO ACESSO PARA CAMINHAO (1) PENALIZADA WELVIS SUP. DIVINOPOLIS"/>
    <s v="SS ENC-RD-PS 57/2026 _x000a_TRAFO: 5710428084 _x000a_ _x000a_ _x000a_ _x000a_TRAFO RETIRADO _x000a_POTÊNCIA : 30KVA _x000a_TENSÃO :_x0009_ 34.5KV _x000a_Nº ENERGISA (CITD) : 143090 _x000a_Nº DE SÉRIE : 1568543 _x000a_MARCA : ROMAGNOLE _x000a_DATA FABRICAÇÃO : 11/2024 _x000a_IMPEDANCIA : 4.86 _x000a_POS. TAP : 02 _x000a_ _x000a_TRAFO INSTALADO' _x000a_POTÊNCIA : 30KVA _x000a_TENSÃO :_x0009_ 34.5KV _x000a_Nº ENERGISA (CITD) : 147722 _x000a_Nº DE SÉRIE : 586759 _x000a_MARCA : ITAIPU _x000a_DATA FABRICAÇÃO : 07/2025 _x000a_IMPEDANCIA : 3.98 _x000a_POS. TAP : 02 _x000a_ _x000a_"/>
  </r>
  <r>
    <x v="36"/>
    <s v="jan"/>
    <x v="0"/>
    <x v="1"/>
    <s v="EXPURGO"/>
    <x v="0"/>
    <s v="esteira 1.582"/>
    <s v="AUSENTE DA CRÍTICA"/>
    <n v="5703016016"/>
    <s v="ENC-MLAR01  000013/2026"/>
    <n v="612600021"/>
    <s v="2026-01-02 10:17"/>
    <s v="2026-01-02 18:00"/>
    <s v="FORMS SUBST DE TRANSFORMADOR"/>
    <s v="ETO-RD-AR"/>
    <s v="WANDERLANDIA"/>
    <s v="QUEIMADO"/>
    <s v="SOBRECARGA"/>
    <s v="180489"/>
    <n v="435142"/>
    <s v="sim"/>
    <m/>
    <m/>
    <m/>
    <m/>
    <s v="SIM"/>
    <s v="leitura caso a caso"/>
    <s v="Fora do indicador: o ativo não existe na base de interrupção. Sem registro de interrupção não há evento a medir."/>
    <s v="SUBSTITUIR o Trafo 5703016016Lançar vão de rede de 100 metros , cabo AA / 4Instalar chave trafo ELO 0,5HAcesso livrePotencia de 15 kVA"/>
    <s v="ETO-RD-AR 01/2026 _x000a_TRAFO RETIRADO _x000a_POTÊNCIA : 15 KVA _x000a_TENSÃO :_x0009_ 34.5 KV _x000a_Nº ENERGISA (CITD) : ILEGIVEL _x000a_Nº DE SÉRIE : 180489 _x000a_MARCA : ABB _x000a_DATA FABRICAÇÃO : 04/2002 _x000a_IMPEDANCIA : 2,9 _x000a_POS. TAP : 03 _x000a_ _x000a_TRAFO INSTALADO _x000a_POTÊNCIA : 15 KVA _x000a_TENSÃO :_x0009_ 34.5 KV _x000a_Nº ENERGISA (CITD) : 105598 _x000a_Nº DE SÉRIE : 435142 _x000a_MARCA : TRAEL _x000a_DATA FABRICAÇÃO : 2017 _x000a_IMPEDANCIA : 2,9 _x000a_POS. TAP : 05 _x000a_"/>
  </r>
  <r>
    <x v="37"/>
    <s v="jan"/>
    <x v="0"/>
    <x v="1"/>
    <s v="EXPURGO"/>
    <x v="1"/>
    <s v="esteira 1.582"/>
    <s v="AUSENTE DA CRÍTICA"/>
    <n v="5756806060"/>
    <s v="ENC-MLAR05  000003/2026"/>
    <n v="612600048"/>
    <s v="2026-01-06 20:40"/>
    <s v="2026-01-08 16:12"/>
    <s v="FORMS SUBST DE TRANSFORMADOR"/>
    <s v="ETO-RD-AR"/>
    <s v="NOVA OLINDA"/>
    <s v="AVARIADO"/>
    <s v="VAZAMENTO DE ÓLEO"/>
    <s v="255447"/>
    <n v="16294"/>
    <s v="sim"/>
    <m/>
    <m/>
    <m/>
    <m/>
    <s v="SIM"/>
    <s v="leitura caso a caso"/>
    <s v="Fora do indicador: o código não aparece na Crítica em papel nenhum — nem com defeito, nem interrompido, nem manobrado — nos sete meses do acervo; nem o teste do vizinho achou explicação."/>
    <s v="TRAFO 5756806060 75KVA 13.8KV COM VAZAMENTO DE OLEO, ATENDE UMA ESCOLA DR. HELIO DE SOU BUENO NA RDU DE NOVA OLINDA"/>
    <s v="ETO-RD-AR 24/2026 _x000a_TRAFO RETIRADO _x000a_POTÊNCIA : 75 KVA _x000a_TENSÃO :_x0009_ 13.8 KV _x000a_Nº ENERGISA (CITD) : 146534 _x000a_Nº DE SÉRIE : 255447 _x000a_MARCA : TRAEL _x000a_DATA FABRICAÇÃO : 07/2023 _x000a_IMPEDANCIA : 3,51 _x000a_POS. TAP : 04 _x000a_ _x000a_TRAFO INSTALADO _x000a_POTÊNCIA : 75 KVA _x000a_TENSÃO :_x0009_ 13.8 KV _x000a_Nº ENERGISA (CITD) : 147780 _x000a_Nº DE SÉRIE : 16294 _x000a_MARCA : TRAEL _x000a_DATA FABRICAÇÃO : 02/2013 _x000a_IMPEDANCIA : 3,09 _x000a_POS. TAP : 04 _x000a_"/>
  </r>
  <r>
    <x v="38"/>
    <s v="jan"/>
    <x v="0"/>
    <x v="1"/>
    <s v="EXPURGO"/>
    <x v="0"/>
    <s v="esteira 1.582"/>
    <s v="AUSENTE DA CRÍTICA"/>
    <n v="5704370057"/>
    <s v="ENC-MLAR05  000026/2026"/>
    <n v="612600070"/>
    <s v="2026-01-16 08:57"/>
    <s v="2026-01-16 23:00"/>
    <s v="FORMS SUBST DE TRANSFORMADOR"/>
    <s v="ETO-RD-AR"/>
    <s v="ARAGUAINA"/>
    <s v="QUEIMADO"/>
    <s v="DESCARGA ATMOSFÉRICA"/>
    <s v="371054"/>
    <n v="820201"/>
    <s v="sim"/>
    <m/>
    <m/>
    <m/>
    <m/>
    <s v="SIM"/>
    <s v="leitura caso a caso"/>
    <s v="Fora do indicador: o ativo não existe na base de interrupção. Sem registro de interrupção não há evento a medir."/>
    <s v="Trafo 5704370057 15 kva queimadoTensão: 19.9Acesso: Livre Endereço: IND FAZENDA NOVO HORIZONTE, 0 - NOVO HORIZONTE 500M DA  PISTA"/>
    <s v="ETO-RD-AR 81/2026 _x000a_TRAFO RETIRADO _x000a_POTÊNCIA : 15 KVA _x000a_TENSÃO :_x0009_ 34.5 KV _x000a_Nº ENERGISA (CITD) : ILEGIVEL _x000a_Nº DE SÉRIE : 371054 _x000a_MARCA : TOSHIBA _x000a_DATA FABRICAÇÃO : 11/99 _x000a_IMPEDANCIA : 3,0 _x000a_POS. TAP : 03 _x000a_ _x000a_TRAFO INSTALADO _x000a_POTÊNCIA : 15 KVA _x000a_TENSÃO :_x0009_ 34.5 KV _x000a_Nº ENERGISA (CITD) : 149215 _x000a_Nº DE SÉRIE : 820201 _x000a_MARCA : TRAEL _x000a_DATA FABRICAÇÃO : 11/2025 _x000a_IMPEDANCIA : 3,0 _x000a_POS. TAP : 05 _x000a_"/>
  </r>
  <r>
    <x v="39"/>
    <s v="jan"/>
    <x v="0"/>
    <x v="1"/>
    <s v="EXPURGO"/>
    <x v="0"/>
    <s v="esteira 1.582"/>
    <s v="AUSENTE DA CRÍTICA"/>
    <n v="5700746004"/>
    <s v="ENC-MLAR01  000054/2026"/>
    <n v="612600086"/>
    <s v="2026-01-19 21:44"/>
    <s v="2026-01-20 20:50"/>
    <s v="FORMS SUBST DE TRANSFORMADOR"/>
    <s v="ETO-RD-AR"/>
    <s v="ARAGUAINA"/>
    <s v="QUEIMADO"/>
    <s v="DESCARGA ATMOSFÉRICA"/>
    <s v="1294"/>
    <n v="820197"/>
    <s v="sim"/>
    <m/>
    <m/>
    <m/>
    <m/>
    <s v="SIM"/>
    <s v="leitura caso a caso"/>
    <s v="Fora do indicador: o ativo não existe na base de interrupção. Sem registro de interrupção não há evento a medir."/>
    <s v="Trafo 5700746004 queimado 15kvaTensão: 19.9Acesso somente para caminhoneteEquipe: 004op08"/>
    <s v="ETO-RD-AR 118/2026 _x000a_TRAFO RETIRADO _x000a_POTÊNCIA : 10 KVA _x000a_TENSÃO :_x0009_ 34.5 KV _x000a_Nº ENERGISA (CITD) : ILEGIVEL _x000a_Nº DE SÉRIE : 1294 _x000a_MARCA : CROSS _x000a_DATA FABRICAÇÃO : 04/95 _x000a_IMPEDANCIA : 2,5 _x000a_POS. TAP : 04 _x000a_ _x000a_TRAFO INSTALADO _x000a_POTÊNCIA : 15 KVA _x000a_TENSÃO :_x0009_ 34.5 KV _x000a_Nº ENERGISA (CITD) : 149211 _x000a_Nº DE SÉRIE : 820197 _x000a_MARCA : TRAEL _x000a_DATA FABRICAÇÃO : 11/2025 _x000a_IMPEDANCIA : 3,0 _x000a_POS. TAP : 05 _x000a_"/>
  </r>
  <r>
    <x v="40"/>
    <s v="jan"/>
    <x v="0"/>
    <x v="1"/>
    <s v="EXPURGO"/>
    <x v="0"/>
    <s v="esteira 1.582"/>
    <s v="AUSENTE DA CRÍTICA"/>
    <n v="5741943048"/>
    <s v="ENC-MLGR03  000015/2026"/>
    <n v="712600047"/>
    <s v="2026-01-09 18:59"/>
    <s v="2026-01-10 22:28"/>
    <s v="FORMS SUBST DE TRANSFORMADOR"/>
    <s v="ETO-RD-GR"/>
    <s v="FORTALEZA DO TABOCAO"/>
    <s v="QUEIMADO"/>
    <s v="DESCARGA ATMOSFÉRICA"/>
    <s v="1510147"/>
    <n v="489685"/>
    <s v="sim"/>
    <m/>
    <m/>
    <m/>
    <m/>
    <s v="SIM"/>
    <s v="leitura caso a caso"/>
    <s v="Fora do indicador: o ativo não existe na base de interrupção. Sem registro de interrupção não há evento a medir."/>
    <s v="trafo queimado 5710088048, porem em campo esta o trafo 5741943048112.5 kVAacesso livre pararaio queimadoequipe 009op01- 63999201531"/>
    <s v="SUBSTITUIÇÃO DE TRAFO 5710088048 ETO-RD-GR 52/2026 RDR FORTALEZA DO TABOCÃO _x000a_ _x000a_TRAFO RETIRADO _x000a_POTÊNCIA : 112,5KV _x000a_TENSÃO :_x0009_ 34,5KV _x000a_Nº ENERGISA (CITD) : 138563 _x000a_Nº DE SÉRIE : 1510147 _x000a_MARCA : ROMAGNOLE _x000a_DATA FABRICAÇÃO : 03/2024 _x000a_IMPEDANCIA : 3,87 _x000a_POS. TAP : 02 _x000a_ _x000a_TRAFO INSTALADO _x000a_POTÊNCIA : 150KVA _x000a_TENSÃO : 34,5KV_x0009_ _x000a_Nº ENERGISA (CITD) : 135119 _x000a_Nº DE SÉRIE : 489685 _x000a_MARCA : ITAIPU _x000a_DATA FABRICAÇÃO : 03/2023 _x000a_IMPEDANCIA : 4,03 _x000a_POS. TAP : 02 _x000a_ _x000a_MEDIÇÃO 1: 11,57 _x000a_MEDIÇÃO 2: 07,98 _x000a_MEDIÇÃO 3: 06,51 _x000a_ _x000a_ _x000a_COORDENADA: _x000a_X: 785308 _x000a_Y: 9006432 _x000a_ _x000a_OBS: O TRAFO INFORMADO NA SS É O 5741943048, MAS QUAN"/>
  </r>
  <r>
    <x v="41"/>
    <s v="jan"/>
    <x v="0"/>
    <x v="1"/>
    <s v="EXPURGO"/>
    <x v="0"/>
    <s v="esteira 1.582"/>
    <s v="AUSENTE DA CRÍTICA"/>
    <n v="5700396048"/>
    <s v="ENC-MLGR03  000031/2026"/>
    <n v="712600063"/>
    <s v="2026-01-16 16:33"/>
    <s v="2026-01-17 02:02"/>
    <s v="FORMS SUBST DE TRANSFORMADOR"/>
    <s v="ETO-RD-GR"/>
    <s v="FORTALEZA DO TABOCAO"/>
    <s v="QUEIMADO"/>
    <s v="DESCARGA ATMOSFÉRICA"/>
    <s v="573184"/>
    <n v="820202"/>
    <s v="sim"/>
    <m/>
    <m/>
    <m/>
    <m/>
    <s v="SIM"/>
    <s v="leitura caso a caso"/>
    <s v="Fora do indicador: o código não aparece na Crítica em papel nenhum — nem com defeito, nem interrompido, nem manobrado — nos sete meses do acervo; nem o teste do vizinho achou explicação."/>
    <s v="Trafo: 5700396048 Avariado Potencia: 15 KVATensão: 34,5kPara raio: queimado Acesso: Camioneta   Equipe: 009op02 (63)99983-3829Obs. trafo esta com tensão baixa em uma das buchas."/>
    <s v="SUBTITUIÇÃO DE TRAFO 5700396048 FAZ. MASC. ESPERANÇA II RDR DE FORTALEZA DO TABOCÃO  _x000a_ _x000a_TRAFO RETIRADO _x000a_POTÊNCIA : 15KVA _x000a_TENSÃO :_x0009_ 34,5KV _x000a_Nº ENERGISA (CITD) : 127938 _x000a_Nº DE SÉRIE : 573184 _x000a_MARCA : TRAEL _x000a_DATA FABRICAÇÃO : 04/2021 _x000a_IMPEDANCIA : 3,0 _x000a_POS. TAP : 02 _x000a_ _x000a_TRAFO INSTALADO _x000a_POTÊNCIA : 15KVA _x000a_TENSÃO :_x0009_ 34,5KV _x000a_Nº ENERGISA (CITD) : 149216 _x000a_Nº DE SÉRIE : 820202 _x000a_MARCA : TRAEL _x000a_DATA FABRICAÇÃO : 11/2025 _x000a_IMPEDANCIA : 3,0 _x000a_POS. TAP : 03 _x000a_ _x000a_MEDIÇÃO 1: 17,45 _x000a_MEDIÇÃO 2: 11,57 _x000a_MEDIÇÃO 3: 10,73 _x000a_ _x000a_COORD.  _x000a_X: 786636 _x000a_Y: 9005551 _x000a_"/>
  </r>
  <r>
    <x v="42"/>
    <s v="jan"/>
    <x v="0"/>
    <x v="1"/>
    <s v="EXPURGO"/>
    <x v="0"/>
    <s v="esteira 1.582"/>
    <s v="AUSENTE DA CRÍTICA"/>
    <n v="5700922009"/>
    <s v="ETO-RD-GR  000231/2026"/>
    <n v="712600101"/>
    <s v="2026-01-28 20:04"/>
    <s v="2026-01-31 08:29"/>
    <s v="FORMS SUBST DE TRANSFORMADOR"/>
    <s v="ETO-RD-GR"/>
    <s v="GUARAI"/>
    <s v="QUEIMADO"/>
    <s v="DESCARGA ATMOSFÉRICA"/>
    <m/>
    <m/>
    <s v="não"/>
    <m/>
    <m/>
    <m/>
    <m/>
    <s v="SIM"/>
    <s v="leitura caso a caso"/>
    <s v="Fora do indicador: o ativo não existe na base de interrupção. Sem registro de interrupção não há evento a medir."/>
    <s v="TR-5700922009 Queimadopara raios queiamado potência 10kvatensão 34,5kvacesso livreequipe 009op01 tel-63984566867"/>
    <s v="TR-5700922009 Queimado _x000a_para raios queiamado  _x000a_potência 10kva _x000a_tensão 34,5kv _x000a_acesso livre _x000a_equipe 009op01 tel-63984566867"/>
  </r>
  <r>
    <x v="43"/>
    <s v="jan"/>
    <x v="0"/>
    <x v="1"/>
    <s v="EXPURGO"/>
    <x v="0"/>
    <s v="esteira 1.582"/>
    <s v="AUSENTE DA CRÍTICA"/>
    <n v="5710535094"/>
    <s v="DBM-MLDB05  000013/2026"/>
    <n v="412600114"/>
    <s v="2026-01-13 20:52"/>
    <s v="2026-01-15 16:00"/>
    <s v="FORMS SUBST DE TRANSFORMADOR"/>
    <s v="ETO-RD-GU"/>
    <s v="PEIXE"/>
    <s v="QUEIMADO"/>
    <s v="DESCARGA ATMOSFÉRICA"/>
    <s v="225341"/>
    <m/>
    <s v="não"/>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nsformador e para raio queimado"/>
    <s v="SUBSTITUIÇÃO DE TRANSFORMADOR NA RDR DE PEIXE _x000a_ _x000a_INT: 20264079688074 _x000a_ _x000a_SS: ETO-RD-GU 66/2026 _x000a_ _x000a_ESPECIFICAÇÕES DO TRANSFORMADOR _x000a_ _x000a_TRANSFORMADOR INSTALADO: 15 KVA _x000a_ _x000a_TRANSFORMADOR RETIRADO: 5 KVA _x000a_ _x000a_MEDIÇÕES _x000a_ _x000a_LOGO APÓS A TROCA  _x000a_ _x000a_VAN: 209 _x000a_ _x000a_OBS:SUBSTITUIÇÃO DE TRANSFORMADOR AUTORIZADA PELO DIONE. _x000a_ _x000a_"/>
  </r>
  <r>
    <x v="44"/>
    <s v="jan"/>
    <x v="0"/>
    <x v="1"/>
    <s v="EXPURGO"/>
    <x v="0"/>
    <s v="esteira 1.582"/>
    <s v="AUSENTE DA CRÍTICA"/>
    <n v="5701108076"/>
    <s v="DBM-MLDB03  000008/2026"/>
    <n v="412600116"/>
    <s v="2026-01-14 16:27"/>
    <s v="2026-01-16 12:01"/>
    <s v="FORMS SUBST DE TRANSFORMADOR"/>
    <s v="ETO-RD-GU"/>
    <s v="CARIRI DO TOCANTINS"/>
    <s v="QUEIMADO"/>
    <s v="DESCARGA ATMOSFÉRICA"/>
    <s v="20674"/>
    <m/>
    <s v="não"/>
    <m/>
    <m/>
    <m/>
    <m/>
    <s v="não"/>
    <s v="leitura caso a caso"/>
    <s v="Fora do indicador: o ativo não existe na base de interrupção. Sem registro de interrupção não há evento a medir."/>
    <s v="transformador e para  raio queimado"/>
    <s v="SUBSTITUIÇÃO DE TRANSFORMADOR NA RDR DE DUERE _x000a_ _x000a_INT: 20264080370563 _x000a_ _x000a_SS: ETO-RD-GU 73/2026 _x000a_ _x000a_ESPECIFICAÇÕES DO TRANSFORMADOR _x000a_ _x000a_TRANSFORMADOR INSTALADO:  15 KVA _x000a_ _x000a_TRANSFORMADOR RETIRADO: 05 KVA _x000a_ _x000a_MEDIÇÕES _x000a_ _x000a_LOGO APÓS A TROCA  _x000a_ _x000a_VAN: 202 _x000a_ _x000a_VBN: 202 _x000a_ _x000a_OBS:SUBSTITUIÇÃO DE TRANSFORMADOR AUTORIZADA PELO DIONE. _x000a_"/>
  </r>
  <r>
    <x v="45"/>
    <s v="fev"/>
    <x v="0"/>
    <x v="1"/>
    <s v="EXPURGO"/>
    <x v="0"/>
    <s v="esteira 1.582"/>
    <s v="AUSENTE DA CRÍTICA"/>
    <n v="5710046096"/>
    <s v="DG-MLPO01  000039/2026"/>
    <n v="312500671"/>
    <s v="2026-02-12 10:28"/>
    <s v="2026-02-12 10:44"/>
    <s v="FORMS SUBST DE TRANSFORMADOR"/>
    <s v="DG-RD-PO"/>
    <s v="PINDORAMA DO TOCANTINS"/>
    <s v="QUEIMADO"/>
    <s v="DESCARGA ATMOSFÉRICA"/>
    <s v="1463815"/>
    <n v="1219870"/>
    <s v="sim"/>
    <m/>
    <m/>
    <m/>
    <m/>
    <s v="SIM"/>
    <s v="leitura caso a caso"/>
    <s v="Fora do indicador: o ativo não existe na base de interrupção. Sem registro de interrupção não há evento a medir."/>
    <s v="SEGUE SS PARA SUBSTITUIR TRAFO QEUIMADO NA RDR DE PINDORAMAOBS: NOTA CRIADA PARA SUBST. A SS 800/2025 QUE FOI ABERTA NO TRAFO ERRADO"/>
    <s v="medido_ _x000a_emergencial_ _x000a_ _x000a_substituição de trafo queimado rdr pindorama _x000a_obs: OS CRIADA PARA SUBSTITUIR MLPO0190/2025 OBRA 0312500671 TRAFO ERRADO "/>
  </r>
  <r>
    <x v="46"/>
    <s v="fev"/>
    <x v="0"/>
    <x v="1"/>
    <s v="EXPURGO"/>
    <x v="0"/>
    <s v="esteira 1.582"/>
    <s v="AUSENTE DA CRÍTICA"/>
    <n v="5710046096"/>
    <s v="DG-MPDG01  000049/2026"/>
    <n v="312500675"/>
    <s v="2026-02-12 10:44"/>
    <s v="2026-02-12 11:05"/>
    <s v="FORMS SUBST DE TRANSFORMADOR"/>
    <s v="DG-RD-PO"/>
    <s v="PINDORAMA DO TOCANTINS"/>
    <s v="GARANTIA DE TRAFO"/>
    <s v="DESCARGA ATMOSFÉRICA"/>
    <s v="1219870"/>
    <n v="586782"/>
    <s v="sim"/>
    <m/>
    <m/>
    <m/>
    <m/>
    <s v="não"/>
    <s v="leitura caso a caso"/>
    <s v="Fora do indicador: o ativo não existe na base de interrupção. Sem registro de interrupção não há evento a medir."/>
    <s v="SEGUE SS PARA SUBSTITUIR TRAFO QUEIMADO OBS: NOTA CRIADA PARA SUBST. SS 814/2025 ABERTA NO TRAFO ERRADO"/>
    <s v="medido_ _x000a_emergencial_ _x000a_ _x000a_substituição de trafo queimado rdr pindorama _x000a_obs: OS SUBSITUINDO OS MPDG01 210-2025 OBRA 0312500675 TRAFO ERRADO "/>
  </r>
  <r>
    <x v="47"/>
    <s v="fev"/>
    <x v="0"/>
    <x v="1"/>
    <s v="EXPURGO"/>
    <x v="1"/>
    <s v="esteira 1.582"/>
    <s v="AUSENTE DA CRÍTICA"/>
    <n v="5722285006"/>
    <s v="DLP-MPPA01  000076/2026"/>
    <n v="112600434"/>
    <s v="2026-02-28 08:04"/>
    <s v="2026-03-23 09:00"/>
    <s v="FORMS SUBST DE TRANSFORMADOR"/>
    <s v="DOLP-RD-PA"/>
    <s v="TOCANTINIA"/>
    <s v="QUEIMADO"/>
    <s v="VAZAMENTO DE ÓLEO"/>
    <s v="562169031"/>
    <n v="586768"/>
    <s v="sim"/>
    <m/>
    <m/>
    <m/>
    <m/>
    <s v="SIM"/>
    <s v="leitura caso a caso"/>
    <s v="Fora do indicador: o ativo não existe na base de interrupção. Sem registro de interrupção não há evento a medir."/>
    <s v="trafo 5722285006 vazaMENTO DE Óleo acesso livre potencia 30 kva tensão 34,5 para-raio queimado obs: leva porta fusivel para fecha o trafo"/>
    <s v="MEDIDO_ _x000a_trafo 5722285006 vazaMENTO DE Óleo  _x000a_acesso livre  _x000a_potencia 30 kva  _x000a_tensão 34,5  _x000a_para-raio queimado  _x000a_ _x000a_obs: leva porta fusivel para fecha o trafo _x000a_ _x000a_ _x000a_ _x000a_DADOS ATENDIMENTO _x000a_EQUIPE DOLP-MPPA01 _x000a_ENCARREGADO - IBANEZ RODRIGUES _x000a_ _x000a_SS DOLP-RD-PA 303/2026 _x000a_ _x000a_ _x000a_DATA ATENDIMENTO _x000a_03/03/2026 _x000a_ _x000a_ _x000a_ _x000a_CUMPRIR COM TODOS OS PROCEDIMENTOS DE SEGURANÇA _x000a_ _x000a_ _x000a_ _x000a_*********** Parecer do COCM - ordem de serviço baixada sistemicamente, empreiteira estará fazendo as baixa de material e lançamento de mão de obra."/>
  </r>
  <r>
    <x v="48"/>
    <s v="fev"/>
    <x v="0"/>
    <x v="1"/>
    <s v="EXPURGO"/>
    <x v="0"/>
    <s v="esteira 1.582"/>
    <s v="AUSENTE DA CRÍTICA"/>
    <n v="5701299084"/>
    <s v="ENC-LMPS04  000027/2026"/>
    <n v="212600157"/>
    <s v="2026-02-02 14:50"/>
    <s v="2026-02-03 19:00"/>
    <s v="FORMS SUBST DE TRANSFORMADOR"/>
    <s v="ENC-RD-PS"/>
    <s v="DIVINOPOLIS DO TOCANTINS"/>
    <s v="QUEIMADO"/>
    <s v="DESCARGA ATMOSFÉRICA"/>
    <s v="111028"/>
    <n v="811235"/>
    <s v="sim"/>
    <s v="PARA-RAIOS"/>
    <s v="PARA-RAIOS CURTO-CIRCUITADO"/>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para tratativa com equipe de manutençao o quanto antessubstituir trafo 5701299084"/>
    <s v="SS ENC-RD-PS 177/2026 _x000a_trafo 5701299084 _x000a_ _x000a_ _x000a_ _x000a_TRAFO RETIRADO _x000a_POTÊNCIA : 10KVA _x000a_TENSÃO :_x0009_ 34.5KV _x000a_Nº ENERGISA (CITD) : ILEGIVEL _x000a_Nº DE SÉRIE : 111028 _x000a_MARCA : VIJAI _x000a_DATA FABRICAÇÃO : 02/2011 _x000a_IMPEDANCIA : 2.90 _x000a_POS. TAP : 03 _x000a_ _x000a_TRAFO INSTALADO' _x000a_POTÊNCIA : 15KVA _x000a_TENSÃO :_x0009_ 34.5KV _x000a_Nº ENERGISA (CITD) : 149145 _x000a_Nº DE SÉRIE : 811235 _x000a_MARCA : TRAEL _x000a_DATA FABRICAÇÃO : AGO/2025 _x000a_IMPEDANCIA : 3.0 _x000a_POS. TAP : 03 _x000a_"/>
  </r>
  <r>
    <x v="49"/>
    <s v="fev"/>
    <x v="0"/>
    <x v="1"/>
    <s v="EXPURGO"/>
    <x v="0"/>
    <s v="esteira 1.582"/>
    <s v="AUSENTE DA CRÍTICA"/>
    <n v="5720337055"/>
    <s v="ENC-LMPS04  000039/2026"/>
    <n v="212600217"/>
    <s v="2026-02-17 15:45"/>
    <s v="2026-02-18 16:00"/>
    <s v="FORMS SUBST DE TRANSFORMADOR"/>
    <s v="ENC-RD-PS"/>
    <s v="ARAGUACEMA"/>
    <s v="QUEIMADO"/>
    <s v="DESCARGA ATMOSFÉRICA"/>
    <s v="367926"/>
    <n v="572129"/>
    <s v="sim"/>
    <s v="MEIO AMBIENTE"/>
    <s v="DESCARGA ATMOSFERICA"/>
    <s v="TRANSFORMADOR"/>
    <s v="QUEIMADO POR DESCARGA ATMOSFERICA"/>
    <s v="SIM"/>
    <s v="leitura caso a caso"/>
    <s v="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
    <s v="TR 572033705515KVAPARA RAIO DANIFIFCADO 34500CAMINHONETE EQUIPE 055OP01"/>
    <s v="SS ENC-RD-PS 246/2026 _x000a_TR 5720337055 _x000a_ _x000a_ _x000a_TRAFO RETIRADO _x000a_POTÊNCIA : 15KVA _x000a_TENSÃO :_x0009_ 34.5KV _x000a_Nº ENERGISA (CITD) : ILEGIVEL _x000a_Nº DE SÉRIE : 367926 _x000a_MARCA : TOSHIBA _x000a_DATA FABRICAÇÃO : 06/1999 _x000a_IMPEDANCIA : 3.0 _x000a_POS. TAP : 03 _x000a_ _x000a_TRAFO INSTALADO' _x000a_POTÊNCIA : 15KVA _x000a_TENSÃO :_x0009_ 34.5KV _x000a_Nº ENERGISA (CITD) : 148868 _x000a_Nº DE SÉRIE : 572129 _x000a_MARCA : TRAEL _x000a_DATA FABRICAÇÃO : 2025 _x000a_IMPEDANCIA : 3.07 _x000a_POS. TAP : 03 _x000a_ _x000a_ _x000a_"/>
  </r>
  <r>
    <x v="50"/>
    <s v="fev"/>
    <x v="0"/>
    <x v="1"/>
    <s v="EXPURGO"/>
    <x v="0"/>
    <s v="esteira 1.582"/>
    <s v="AUSENTE DA CRÍTICA"/>
    <n v="5700191054"/>
    <s v="ENC-LMPS01  000074/2026"/>
    <n v="212600238"/>
    <s v="2026-02-20 13:46"/>
    <s v="2026-02-22 07:41"/>
    <s v="FORMS SUBST DE TRANSFORMADOR"/>
    <s v="ENC-RD-PS"/>
    <s v="PUGMIL"/>
    <s v="QUEIMADO"/>
    <s v="ABALROADO"/>
    <s v="C241333"/>
    <m/>
    <s v="não"/>
    <s v="POSTE DE AT"/>
    <s v="ABALROADO"/>
    <s v="POSTE DE AT"/>
    <s v="ABALROADO"/>
    <s v="não"/>
    <s v="leitura caso a caso"/>
    <s v="Fora do indicador: o ativo não existe na base de interrupção. Sem registro de interrupção não há evento a medir."/>
    <s v="substituir poste ID 47042587 10/300 estrutura do TR 5700191054 15KVA 19,9KV ACESSO BOM fotos anexadas na OS 20264131749370"/>
    <s v="SS ENC-RD-PS 259/2026 _x000a_ TR 5700191054 _x000a_ _x000a_ _x000a_ _x000a_TRAFO RETIRADO _x000a_POTÊNCIA : 15KVA _x000a_TENSÃO :_x0009_ 34.5KV _x000a_Nº ENERGISA (CITD) : 137853 _x000a_Nº DE SÉRIE : C 241333 _x000a_MARCA : ITAM _x000a_DATA FABRICAÇÃO : 09/2023 _x000a_IMPEDANCIA : 3.0 _x000a_POS. TAP : 03 _x000a_ _x000a_TRAFO INSTALADO' _x000a_POTÊNCIA : 15KVA _x000a_TENSÃO :_x0009_ 34.5KV _x000a_Nº ENERGISA (CITD) : 147906 _x000a_Nº DE SÉRIE : C299631 _x000a_MARCA : ITAM _x000a_DATA FABRICAÇÃO : 01/2026 _x000a_IMPEDANCIA : 3.02 _x000a_POS. TAP : 03 _x000a_"/>
  </r>
  <r>
    <x v="51"/>
    <s v="fev"/>
    <x v="0"/>
    <x v="1"/>
    <s v="EXPURGO"/>
    <x v="0"/>
    <s v="esteira 1.582"/>
    <s v="AUSENTE DA CRÍTICA"/>
    <n v="5700032103"/>
    <s v="ENC-MPAG02  000017/2026"/>
    <n v="662600087"/>
    <s v="2026-02-07 19:18"/>
    <s v="2026-02-08 01:55"/>
    <s v="FORMS SUBST DE TRANSFORMADOR"/>
    <s v="ETO-RD-AG"/>
    <s v="SAO MIGUEL DO TOCANTINS"/>
    <s v="QUEIMADO"/>
    <s v="DESCARGA ATMOSFÉRICA"/>
    <s v="990387"/>
    <n v="20084012"/>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queimado"/>
    <s v="trafo queimado _x000a_ _x000a_ _x000a_TRAFO RETIRADO  _x000a_ _x000a_POTÊNCIA; 112,5KVA 34,5KV _x000a_DATA DE FAB; 01/2015 - REFORMA; 09/2025 _x000a_MARCA; ROMAGNOLE - TRAEL-PA _x000a_Nº CITD; 132844 _x000a_Nº SÉRIE; 990387 _x000a_IMPEDÂNCIA; 4,12 _x000a_POS. TAP; 3 _x000a_ _x000a_TRAFO INSTALADO _x000a_ _x000a_ _x000a_POTÊNCIA; 112,5KVA 34,5KV _x000a_DATA DE FAB; 09/2024 _x000a_MARCA; TAMURA _x000a_Nº CITD; 143798 _x000a_Nº SÉRIE; 20084012 _x000a_IMPEDÂNCIA; 3,86 _x000a_POS. TAP; 2º _x000a_MEDIÇÃO;  5,92 / 5,94 / 06,39 _x000a_"/>
  </r>
  <r>
    <x v="52"/>
    <s v="fev"/>
    <x v="0"/>
    <x v="1"/>
    <s v="EXPURGO"/>
    <x v="0"/>
    <s v="esteira 1.582"/>
    <s v="AUSENTE DA CRÍTICA"/>
    <n v="5366985025"/>
    <s v="ENC-MLAR05  000089/2026"/>
    <n v="612600141"/>
    <s v="2026-02-02 13:43"/>
    <s v="2026-02-02 18:00"/>
    <s v="FORMS SUBST DE TRANSFORMADOR"/>
    <s v="ETO-RD-AR"/>
    <s v="ARAPOEMA"/>
    <s v="QUEIMADO"/>
    <s v="DESCARGA ATMOSFÉRICA"/>
    <s v="C 287221"/>
    <n v="820280"/>
    <s v="sim"/>
    <m/>
    <m/>
    <m/>
    <m/>
    <s v="SIM"/>
    <s v="leitura caso a caso"/>
    <s v="Fora do indicador: o ativo não existe na base de interrupção. Sem registro de interrupção não há evento a medir."/>
    <s v="Boa noite,Favor enviar manutenção para subsitutir trafo 5366985025"/>
    <s v="ETO-RD-AR 207/2026 _x000a_TR: 5366985025 _x000a_ _x000a_TRAFO RETIRADO _x000a_POTÊNCIA : 15KVA _x000a_TENSÃO :_x0009_ 34,5KV _x000a_Nº ENERGISA (CITD) : 148084 _x000a_Nº DE SÉRIE : C287221 _x000a_MARCA : ITAM _x000a_DATA FABRICAÇÃO : 08/2025 _x000a_IMPEDANCIA : 3,13 _x000a_POS. TAP : 03 _x000a_ _x000a_TRAFO INSTALADO _x000a_POTÊNCIA : 15KVA _x000a_TENSÃO :_x0009_ 34,5KV _x000a_Nº ENERGISA (CITD) : 149294 _x000a_Nº DE SÉRIE : 820280 _x000a_MARCA : TRAEL _x000a_DATA FABRICAÇÃO : 11/2025 _x000a_IMPEDANCIA : 3,0 _x000a_POS. TAP : 03 _x000a_"/>
  </r>
  <r>
    <x v="53"/>
    <s v="fev"/>
    <x v="0"/>
    <x v="1"/>
    <s v="EXPURGO"/>
    <x v="1"/>
    <s v="esteira 1.582"/>
    <s v="AUSENTE DA CRÍTICA"/>
    <n v="5701262019"/>
    <s v="ENC-MLAR05  000091/2026"/>
    <n v="612600149"/>
    <s v="2026-02-04 18:47"/>
    <s v="2026-02-04 18:05"/>
    <s v="FORMS SUBST DE TRANSFORMADOR"/>
    <s v="ETO-RD-AR"/>
    <s v="FILADELFIA"/>
    <s v="AVARIADO"/>
    <s v="VAZAMENTO DE ÓLEO"/>
    <s v="175731"/>
    <n v="820283"/>
    <s v="sim"/>
    <m/>
    <m/>
    <m/>
    <m/>
    <s v="não"/>
    <s v="leitura caso a caso"/>
    <s v="Fora do indicador: o ativo não existe na base de interrupção. Sem registro de interrupção não há evento a medir."/>
    <s v="Trafo 5701262019 avariado 15kvaTensão: 19.9Acesso livre"/>
    <s v="ETO-RD-AR 243/2026 _x000a_TR: 5701262019 _x000a_ _x000a_TRAFO RETIRADO _x000a_POTÊNCIA : 5KVA _x000a_TENSÃO :_x0009_ 34,5KV _x000a_Nº ENERGISA (CITD) : ILEGIVEL  _x000a_Nº DE SÉRIE : 175731 _x000a_MARCA : VIJAI _x000a_DATA FABRICAÇÃO : 08/2010 _x000a_IMPEDANCIA : 3,14 _x000a_POS. TAP : 03 _x000a_ _x000a_TRAFO INSTALADO _x000a_POTÊNCIA : 15KVA _x000a_TENSÃO :_x0009_ 34,5KV _x000a_Nº ENERGISA (CITD) : 149297 _x000a_Nº DE SÉRIE : 820283 _x000a_MARCA : TRAEL _x000a_DATA FABRICAÇÃO : 11/2025 _x000a_IMPEDANCIA : 3,0 _x000a_POS. TAP : 02 _x000a_"/>
  </r>
  <r>
    <x v="54"/>
    <s v="fev"/>
    <x v="0"/>
    <x v="1"/>
    <s v="EXPURGO"/>
    <x v="1"/>
    <s v="esteira 1.582"/>
    <s v="AUSENTE DA CRÍTICA"/>
    <n v="5702058004"/>
    <s v="ENC-MLAR05  000118/2026"/>
    <n v="612600195"/>
    <s v="2026-02-15 23:00"/>
    <s v="2026-02-16 13:49"/>
    <s v="AVISO DE ANOMALIA"/>
    <s v="ETO-RD-AR"/>
    <s v="ARAGUAINA"/>
    <s v="AVARIADO"/>
    <s v="VAZAMENTO DE ÓLEO"/>
    <s v="182492"/>
    <n v="138720"/>
    <s v="sim"/>
    <s v="CONEXAO"/>
    <s v="CONEXAO DANIFICADA RAMAL COM RD"/>
    <m/>
    <m/>
    <s v="não"/>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faltanto fase interno secundaria 5702058004 e com vazamento de oleopot 30kvatensao 34,5kvacesso caminhonetefazenda sao paulo GRANJA"/>
    <s v="ETO-RD-AR 315/2026 _x000a_TRAFO RETIRADO _x000a_POTÊNCIA : 30 KVA _x000a_TENSÃO :_x0009_ 13.8 KV _x000a_Nº ENERGISA (CITD) : P 12806 _x000a_Nº DE SÉRIE : 182492 _x000a_MARCA : ABB _x000a_DATA FABRICAÇÃO : 11/01 _x000a_IMPEDANCIA : 3,87 _x000a_POS. TAP : 03 _x000a_ _x000a_TRAFO INSTALADO _x000a_POTÊNCIA : 30 KVA _x000a_TENSÃO :_x0009_ 13.8 KV _x000a_Nº ENERGISA (CITD) : 149607 _x000a_Nº DE SÉRIE : 138720 _x000a_MARCA : CPFL _x000a_DATA FABRICAÇÃO : 2008 _x000a_IMPEDANCIA : 3,67 _x000a_POS. TAP : 04 _x000a_"/>
  </r>
  <r>
    <x v="55"/>
    <s v="fev"/>
    <x v="0"/>
    <x v="1"/>
    <s v="EXPURGO"/>
    <x v="0"/>
    <s v="esteira 1.582"/>
    <s v="AUSENTE DA CRÍTICA"/>
    <n v="5747088104"/>
    <s v="ETO-RD-GR  000258/2026"/>
    <n v="712600133"/>
    <s v="2026-02-03 13:24"/>
    <s v="2026-02-06 08:20"/>
    <s v="FORMS SUBST DE TRANSFORMADOR"/>
    <s v="ETO-RD-GR"/>
    <s v="BOM JESUS DO TOCANTINS"/>
    <s v="QUEIMADO"/>
    <s v="DESCARGA ATMOSFÉRICA"/>
    <m/>
    <m/>
    <s v="não"/>
    <m/>
    <m/>
    <m/>
    <m/>
    <s v="SIM"/>
    <s v="leitura caso a caso"/>
    <s v="Fora do indicador: o ativo não existe na base de interrupção. Sem registro de interrupção não há evento a medir."/>
    <s v="trafo queimado 5747088104 - 15KVA - 34,5KV - Acesso caminhonete - para raio queimadofazenda conquista - cliente Jose Reis Amario da Silva tel. 9.92521087 rdr Bom Jesus do Tocantins"/>
    <s v="trafo queimado 5747088104 - 15KVA - 34,5KV - Acesso caminhonete - para raio queimado _x000a_fazenda conquista - cliente Jose Reis Amario da Silva  _x000a_tel. 9.92521087 rdr Bom Jesus do Tocantins"/>
  </r>
  <r>
    <x v="56"/>
    <s v="fev"/>
    <x v="0"/>
    <x v="1"/>
    <s v="EXPURGO"/>
    <x v="0"/>
    <s v="esteira 1.582"/>
    <s v="AUSENTE DA CRÍTICA"/>
    <n v="5700424154"/>
    <s v="ETO-RD-GR  000256/2026"/>
    <n v="712600129"/>
    <s v="2026-02-04 18:05"/>
    <s v="2026-02-05 15:30"/>
    <s v="FORMS SUBST DE TRANSFORMADOR"/>
    <s v="ETO-RD-GR"/>
    <s v="JUARINA"/>
    <s v="QUEIMADO"/>
    <s v="DESCARGA ATMOSFÉRICA"/>
    <s v="457208"/>
    <m/>
    <s v="não"/>
    <m/>
    <m/>
    <m/>
    <m/>
    <s v="SIM"/>
    <s v="leitura caso a caso"/>
    <s v="Fora do indicador: o ativo não existe na base de interrupção. Sem registro de interrupção não há evento a medir."/>
    <s v="TR-5700424154 Queimadopara raios queiamdo potência 10kvatensão 34,5kvacesso livreequipe 154op01 tel-63992674347"/>
    <s v="TROCA DE TRAFO QUEIMADO 5700424154 ETO-RD-GR 189/2026 CHÁC. DOIS IRMÃOS - JUARINA 0154 _x000a_ _x000a_TRAFO RETIRADO _x000a_POTÊNCIA : 10KVA _x000a_TENSÃO : 19.9KV_x0009_ _x000a_Nº ENERGISA (CITD) : 19290 _x000a_Nº DE SÉRIE : 457208 _x000a_MARCA : ITB _x000a_DATA FABRICAÇÃO : 03/2007 _x000a_IMPEDANCIA : 2.91 _x000a_POS. TAP : 01 _x000a_ _x000a_TRAFO INSTALADO _x000a_POTÊNCIA : 15KVA _x000a_TENSÃO : 19.9KV_x0009_ _x000a_Nº ENERGISA (CITD) : 149744 _x000a_Nº DE SÉRIE : C 290305 _x000a_MARCA : ITAM _x000a_DATA FABRICAÇÃO : 10/2025 _x000a_IMPEDANCIA : 3.10 _x000a_POS. TAP : 03 _x000a_ _x000a_MEDIÇÃO 1: 00.71 _x000a_MEDIÇÃO 2: 00.48 _x000a_MEDIÇÃO 3: 00.17 _x000a_ _x000a_COORDENADA _x000a_X: 708576 _x000a_Y: 9101849 _x000a_"/>
  </r>
  <r>
    <x v="57"/>
    <s v="fev"/>
    <x v="0"/>
    <x v="1"/>
    <s v="EXPURGO"/>
    <x v="0"/>
    <s v="esteira 1.582"/>
    <s v="AUSENTE DA CRÍTICA"/>
    <n v="5700569227"/>
    <s v="ETO-RD-GR  000306/2026"/>
    <n v="712600148"/>
    <s v="2026-02-15 13:28"/>
    <s v="2026-02-17 08:23"/>
    <s v="FORMS SUBST DE TRANSFORMADOR"/>
    <s v="ETO-RD-GR"/>
    <s v="RECURSOLANDIA"/>
    <s v="QUEIMADO"/>
    <s v="DESCARGA ATMOSFÉRICA"/>
    <m/>
    <m/>
    <s v="não"/>
    <m/>
    <m/>
    <m/>
    <m/>
    <s v="SIM"/>
    <s v="leitura caso a caso"/>
    <s v="Fora do indicador: o ativo não existe na base de interrupção. Sem registro de interrupção não há evento a medir."/>
    <s v="TRAFO 5745261227 SAI COM RDU DO TRAFO 5700013227 E FICA  A FRENTE DO TRAFO 5700569227 QUEIMADO PARA RAIO TAMBÉM DE 15 KVA NA NA REDE 19,9 KV ACESSO BOM PARA CAMIONETE FOI FEITO TESTE AVAZIO COSTATADO QUEIMADO COM VAZAMENTO DE ÓLEO"/>
    <s v="TRAFO 5745261227 SAI COM RDU DO TRAFO 5700013227 E FICA  A FRENTE DO TRAFO 5700569227 QUEIMADO PARA RAIO TAMBÉM DE 15 KVA NA NA REDE 19,9 KV ACESSO BOM PARA CAMIONETE FOI FEITO TESTE AVAZIO COSTATADO QUEIMADO COM VAZAMENTO DE ÓLEO"/>
  </r>
  <r>
    <x v="58"/>
    <s v="fev"/>
    <x v="0"/>
    <x v="1"/>
    <s v="EXPURGO"/>
    <x v="0"/>
    <s v="esteira 1.582"/>
    <s v="AUSENTE DA CRÍTICA"/>
    <n v="5710023113"/>
    <s v="ETO-RD-GR  000353/2026"/>
    <n v="712600176"/>
    <s v="2026-02-21 13:09"/>
    <s v="2026-02-24 10:44"/>
    <s v="FORMS SUBST DE TRANSFORMADOR"/>
    <s v="ETO-RD-GR"/>
    <s v="COUTO MAGALHAES"/>
    <s v="QUEIMADO"/>
    <s v="DESCARGA ATMOSFÉRICA"/>
    <m/>
    <m/>
    <s v="não"/>
    <m/>
    <m/>
    <m/>
    <m/>
    <s v="SIM"/>
    <s v="leitura caso a caso"/>
    <s v="Fora do indicador: o ativo não existe na base de interrupção. Sem registro de interrupção não há evento a medir."/>
    <s v="trafo queimado 5710023113 - 15KVA - 34,5KV acesso caminhonete para raio queimado necessario refazer aterramento IND ASSENTAMEN P.A. UNIAO, 0 - CHA JANDAIAuc 562509263991206181 -RDR COUTO MAGALHAES"/>
    <s v="trafo queimado 5710023113 - 15KVA - 34,5KV acesso caminhonete para raio queimado  _x000a_necessario refazer aterramento  _x000a_IND ASSENTAMEN P.A. UNIAO, 0 - CHA JANDAIA _x000a_uc 5625092 _x000a_63991206181 _x000a_ -RDR COUTO MAGALHAES"/>
  </r>
  <r>
    <x v="59"/>
    <s v="fev"/>
    <x v="0"/>
    <x v="1"/>
    <s v="EXPURGO"/>
    <x v="0"/>
    <s v="esteira 1.582"/>
    <s v="AUSENTE DA CRÍTICA"/>
    <n v="5710447023"/>
    <s v="ENC-MLGR03  000084/2026"/>
    <n v="712600196"/>
    <s v="2026-02-26 19:07"/>
    <s v="2026-02-28 03:11"/>
    <s v="FORMS SUBST DE TRANSFORMADOR"/>
    <s v="ETO-RD-GR"/>
    <s v="COLINAS DO TOCANTINS"/>
    <s v="QUEIMADO"/>
    <s v="DESCARGA ATMOSFÉRICA"/>
    <s v="69687"/>
    <n v="1024143"/>
    <s v="sim"/>
    <m/>
    <m/>
    <m/>
    <m/>
    <s v="SIM"/>
    <s v="leitura caso a caso"/>
    <s v="Fora do indicador: o ativo não existe na base de interrupção. Sem registro de interrupção não há evento a medir."/>
    <s v="Boa noite,Favor enviar manutenção para substituir trafo queimado 5710447023"/>
    <s v="TROCA DE TRAFO QUEIMADO 5710447023 ETO-RD-GR 292/2026 CHÁC. VITÓRIA - COLINAS 0023 _x000a_ _x000a_TRAFO RETIRADO _x000a_POTÊNCIA : 10KVA _x000a_TENSÃO : 7.9KV_x0009_ _x000a_Nº ENERGISA (CITD) : ILEGIVEL _x000a_Nº DE SÉRIE : 69687 _x000a_MARCA : TRAEL _x000a_DATA FABRICAÇÃO : 11/2005 _x000a_IMPEDANCIA : 2.58 _x000a_POS. TAP :  _x000a_ _x000a_TRAFO INSTALADO _x000a_POTÊNCIA : 15KVA _x000a_TENSÃO : 7.9KV_x0009_ _x000a_Nº ENERGISA (CITD) : 148731 _x000a_Nº DE SÉRIE : 1024143 _x000a_MARCA : ITB - TRAEL _x000a_DATA FABRICAÇÃO : 06/2016 - 11/2025 _x000a_IMPEDANCIA : 2.46 _x000a_POS. TAP : 03 _x000a_ _x000a_MEDIÇÃO 1: 17.45 _x000a_MEDIÇÃO 2: 12.76 _x000a_MEDIÇÃO 3: 10.73 _x000a_ _x000a_COORDENADA _x000a_X: 779218 _x000a_Y: 9111665 _x000a_"/>
  </r>
  <r>
    <x v="60"/>
    <s v="fev"/>
    <x v="0"/>
    <x v="1"/>
    <s v="EXPURGO"/>
    <x v="0"/>
    <s v="esteira 1.582"/>
    <s v="AUSENTE DA CRÍTICA"/>
    <n v="5710173023"/>
    <s v="ENC-MLGR03  000082/2026"/>
    <n v="712600194"/>
    <s v="2026-02-27 15:07"/>
    <s v="2026-02-28 16:52"/>
    <s v="FORMS SUBST DE TRANSFORMADOR"/>
    <s v="ETO-RD-GR"/>
    <s v="COLINAS DO TOCANTINS"/>
    <s v="QUEIMADO"/>
    <s v="BUCHA DANIFICADA"/>
    <s v="182622"/>
    <n v="133927"/>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Boa tarde,Favor enviar manutenção para subsitutir trafo com bucha secundaria com defeito 5710173023Obs: Necessario substituir cruzeta deterioradaEstrutura: N3"/>
    <s v="TROCA DE TRAFO QUEIMADO 5710173023 ETO-RD-GR 295/2026 FAZ. MARAJÁ DA SERRA - COLINAS 0023 _x000a_ _x000a_TRAFO RETIRADO _x000a_POTÊNCIA : 30KVA _x000a_TENSÃO : 13.8KV_x0009_ _x000a_Nº ENERGISA (CITD) : ILEGIVEL _x000a_Nº DE SÉRIE : 182622 _x000a_MARCA : ABB _x000a_DATA FABRICAÇÃO : 11/2001 _x000a_IMPEDANCIA : 3.57 _x000a_POS. TAP : 01 _x000a_ _x000a_TRAFO INSTALADO _x000a_POTÊNCIA : 30KVA _x000a_TENSÃO : 13.8KV_x0009_ _x000a_Nº ENERGISA (CITD) : 138478 _x000a_Nº DE SÉRIE : 133927 _x000a_MARCA : TRAEL - TRAEL _x000a_DATA FABRICAÇÃO : 07/2008 - 02/2024 _x000a_IMPEDANCIA : 3.74 _x000a_POS. TAP : 02 _x000a_ _x000a_MEDIÇÃO 1: 09.57 _x000a_MEDIÇÃO 2: 08.24 _x000a_MEDIÇÃO 3: 08.08 _x000a_ _x000a_COORDENADA _x000a_X: 763074 _x000a_Y: 9115556 _x000a_"/>
  </r>
  <r>
    <x v="61"/>
    <s v="fev"/>
    <x v="0"/>
    <x v="1"/>
    <s v="EXPURGO"/>
    <x v="0"/>
    <s v="esteira 1.582"/>
    <s v="AUSENTE DA CRÍTICA"/>
    <n v="5710863003"/>
    <s v="DBM-MLDB04  000059/2026"/>
    <n v="412600221"/>
    <s v="2026-02-16 19:10"/>
    <s v="2026-02-23 08:10"/>
    <s v="FORMS SUBST DE TRANSFORMADOR"/>
    <s v="ETO-RD-GU"/>
    <s v="GURUPI"/>
    <s v="QUEIMADO"/>
    <s v="DESCARGA ATMOSFÉRICA"/>
    <s v="670034"/>
    <m/>
    <s v="não"/>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10863003 QUEIMADO EM CAMPO DE 15 KVA ACESSO PARA CAMIONETE PARA RAIO QUEIMADO"/>
    <s v="SUBSTITUIÇÃO DE TRANSFORMADOR NA RDR DE GURUPI _x000a_ _x000a_INT: S/N _x000a_ _x000a_SS: ETO-RD-GU 218/2026 _x000a_ _x000a_ESPECIFICAÇÕES DO TRANSFORMADOR _x000a_ _x000a_TRANSFORMADOR INSTALADO: 15KVA _x000a_ _x000a_TRANSFORMADOR RETIRADO: 15KVA _x000a_ _x000a_MEDIÇÕES _x000a_ _x000a_LOGO APÓS A TROCA  _x000a_ _x000a_VAN: 205.7 _x000a_ _x000a_VBN: 206.4 _x000a_ _x000a_VAB: 411 _x000a_ _x000a_OBS:SUBSTITUIÇÃO DE TRANSFORMADOR AUTORIZADA PELO DIONE. _x000a_ _x000a_"/>
  </r>
  <r>
    <x v="62"/>
    <s v="mar"/>
    <x v="0"/>
    <x v="1"/>
    <s v="EXPURGO"/>
    <x v="0"/>
    <s v="esteira 1.582"/>
    <s v="AUSENTE DA CRÍTICA"/>
    <n v="5702646001"/>
    <s v="DG-MPDG01  000054/2026"/>
    <n v="312600177"/>
    <s v="2026-03-03 08:09"/>
    <s v="2026-03-03 08:45"/>
    <s v="AVISO DE ANOMALIA"/>
    <s v="DG-RD-PO"/>
    <s v="PORTO NACIONAL"/>
    <s v="QUEIMADO"/>
    <m/>
    <s v="2695"/>
    <n v="1597377"/>
    <s v="sim"/>
    <m/>
    <m/>
    <m/>
    <m/>
    <s v="não"/>
    <s v="leitura caso a caso"/>
    <s v="Fora do indicador: o ativo não existe na base de interrupção. Sem registro de interrupção não há evento a medir."/>
    <s v="segue nota trafo queimado de 45kVA paraio bom"/>
    <s v="medido_ _x000a_emergencial_ _x000a_ _x000a_ _x000a_substituição de trafo queimado rdu porto _x000a_obs: cobrando sobre aviso pedrini 21 a 23/02 _x000a_"/>
  </r>
  <r>
    <x v="63"/>
    <s v="mar"/>
    <x v="0"/>
    <x v="1"/>
    <s v="EXPURGO"/>
    <x v="0"/>
    <s v="esteira 1.582"/>
    <s v="AUSENTE DA CRÍTICA"/>
    <n v="5710079256"/>
    <s v="DG-MLPO02  000052/2026"/>
    <n v="312600197"/>
    <s v="2026-03-05 19:31"/>
    <s v="2026-03-08 11:24"/>
    <s v="FORMS SUBST DE TRANSFORMADOR"/>
    <s v="DG-RD-PO"/>
    <s v="MATEIROS"/>
    <s v="QUEIMADO"/>
    <s v="DESCARGA ATMOSFÉRICA"/>
    <s v="332336"/>
    <n v="463560"/>
    <s v="sim"/>
    <m/>
    <m/>
    <m/>
    <m/>
    <s v="SIM"/>
    <s v="leitura caso a caso"/>
    <s v="Fora do indicador: o ativo não existe na base de interrupção. Sem registro de interrupção não há evento a medir."/>
    <s v="TR 5710079256 queimado"/>
    <s v="medido_ _x000a_emergencial_ _x000a_ _x000a_ _x000a_substituição de trafo queimado rdr mateiros _x000a_"/>
  </r>
  <r>
    <x v="64"/>
    <s v="mar"/>
    <x v="0"/>
    <x v="1"/>
    <s v="EXPURGO"/>
    <x v="0"/>
    <s v="esteira 1.582"/>
    <s v="AUSENTE DA CRÍTICA"/>
    <n v="5763161196"/>
    <s v="DLP-MLPA01  000099/2026"/>
    <n v="112600358"/>
    <s v="2026-03-24 14:14"/>
    <s v="2026-03-23 18:20"/>
    <s v="FORMS SUBST DE TRANSFORMADOR"/>
    <s v="DOLP-RD-PA"/>
    <s v="LAGOA DO TOCANTINS"/>
    <s v="QUEIMADO"/>
    <s v="DESCARGA ATMOSFÉRICA"/>
    <s v="474885"/>
    <n v="1403743"/>
    <s v="sim"/>
    <s v="CAUSA NAO IDENTIFICADA"/>
    <s v="CAUSA NAO IDENTIFICADA - ESPECIFICAR"/>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DE TRAFO 5763161196 QUEIMADO NA RDR DE LAGOA DO TOCANTINS. PARA AS DEVIDAS TRATATIVAS COM EQUIPE DE MANUTENÇÃOOBS: LEVAR JOGO DE CHAVE FUSIVEL PARA INSTALAR NA MESMA ESTRUTURA DE TRAFO"/>
    <s v="MEDIDO_ _x000a_ _x000a_EMERGENCIAL_ _x000a_ _x000a_ _x000a_SEGUE SS DE TRAFO 5763161196 QUEIMADO NA RDR DE LAGOA DO TOCANTINS. PARA AS DEVIDAS TRATATIVAS COM EQUIPE DE MANUTENÇÃO _x000a_OBS: LEVAR JOGO DE CHAVE FUSIVEL PARA INSTALAR NA MESMA ESTRUTURA DE TRAFO _x000a_ _x000a_ _x000a_DADOS ATENDIMENTO _x000a_ _x000a_N° DOCUMENTO SS: DOLP-RD-PA 000382/2026 _x000a_N° DOCUMENTO OS: DLP-MLPA01 000099/2026 _x000a_ _x000a_TIPO DA INTERVENÇÃO: MANUTENÇÃO _x000a_TIPO DO SERVIÇO: SUBSTITUIÇÃO DE TRANSFORMADOR, MELHORIA DE MALHA DE ATERRAMENTO E SUBSTITUIÇÃO DE CHAVE FUSIVEL _x000a_POTENCIA: 15KVA - CLASSE DE TENSÃO:  34,5KV _x000a_DATA PROGRAMADA DA ATIVIDADE: 23/03/2026 À 24/03/2026 _x000a_HORARIO PREVISTO D"/>
  </r>
  <r>
    <x v="65"/>
    <s v="mar"/>
    <x v="0"/>
    <x v="1"/>
    <s v="EXPURGO"/>
    <x v="0"/>
    <s v="esteira 1.582"/>
    <s v="AUSENTE DA CRÍTICA"/>
    <n v="5700460055"/>
    <s v="ENC-LMPS04  000054/2026"/>
    <n v="212600327"/>
    <s v="2026-03-17 18:55"/>
    <s v="2026-03-18 18:02"/>
    <s v="FORMS SUBST DE TRANSFORMADOR"/>
    <s v="ENC-RD-PS"/>
    <s v="ARAGUACEMA"/>
    <s v="QUEIMADO"/>
    <s v="DESCARGA ATMOSFÉRICA"/>
    <s v="C299635"/>
    <n v="828125"/>
    <s v="sim"/>
    <m/>
    <m/>
    <m/>
    <m/>
    <s v="SIM"/>
    <s v="leitura caso a caso"/>
    <s v="Fora do indicador: o ativo não existe na base de interrupção. Sem registro de interrupção não há evento a medir."/>
    <s v="TR 5763273055 15KVAPARA RAIO DANIFICADO ACESSO LIVRE PARA CAMINHONETE 055OP01 ESTEVE NO LOCAL TRAFO NAO AXISTE NO SISTEMA (ERRO CADASTRO) FICA PROX AO TR 5700460055MAIS INFORMAÇOES ENTRA EM CONTATO COM EQUIPE 055OP01"/>
    <s v="SS ENC-RD-PS 358/2026 _x000a_TR 5763273055  _x000a_TRAFO NAO AXISTE NO SISTEMA (ERRO CADASTRO) FICA PROX AO TR 5700460055 _x000a_ _x000a_ _x000a_TRAFO RETIRADO _x000a_POTÊNCIA : 15KVA _x000a_TENSÃO :_x0009_ 34.5KV _x000a_Nº ENERGISA (CITD) : 147908 _x000a_Nº DE SÉRIE : C299635 _x000a_MARCA : ITAM _x000a_DATA FABRICAÇÃO : 01/206 _x000a_IMPEDANCIA : 2.92 _x000a_POS. TAP : 03 _x000a_ _x000a_TRAFO INSTALADO' _x000a_POTÊNCIA : 15KVA _x000a_TENSÃO :_x0009_ 34.5KV _x000a_Nº ENERGISA (CITD) : 150402 _x000a_Nº DE SÉRIE : 828125 _x000a_MARCA : TRAEL _x000a_DATA FABRICAÇÃO : 02/2026 _x000a_IMPEDANCIA : 3.0 _x000a_POS. TAP : 03 _x000a_ _x000a_ _x000a_"/>
  </r>
  <r>
    <x v="66"/>
    <s v="mar"/>
    <x v="0"/>
    <x v="1"/>
    <s v="EXPURGO"/>
    <x v="0"/>
    <s v="esteira 1.582"/>
    <s v="AUSENTE DA CRÍTICA"/>
    <n v="5701007008"/>
    <s v="ENC-LMPS03  000066/2026"/>
    <n v="212600341"/>
    <s v="2026-03-19 10:47"/>
    <s v="2026-03-19 17:44"/>
    <s v="FORMS SUBST DE TRANSFORMADOR"/>
    <s v="ENC-RD-PS"/>
    <s v="MIRANORTE"/>
    <s v="QUEIMADO"/>
    <s v="DESCARGA ATMOSFÉRICA"/>
    <s v="388932"/>
    <n v="827738"/>
    <s v="sim"/>
    <m/>
    <m/>
    <m/>
    <m/>
    <s v="SIM"/>
    <s v="leitura caso a caso"/>
    <s v="Fora do indicador: o ativo não existe na base de interrupção. Sem registro de interrupção não há evento a medir."/>
    <s v="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
    <s v="SS ENC-RD-PS 361/2026 _x000a_TRAFO: 5701007008 _x000a_ _x000a_ _x000a_ _x000a_TRAFO RETIRADO _x000a_POTÊNCIA : 15KVA _x000a_TENSÃO :_x0009_ 13.8KV _x000a_Nº ENERGISA (CITD) : ILEGIVEL _x000a_Nº DE SÉRIE : 388932 _x000a_MARCA : TRAEL _x000a_DATA FABRICAÇÃO : 06/2016 _x000a_IMPEDANCIA : 2.41 _x000a_POS. TAP : 01 _x000a_ _x000a_TRAFO INSTALADO' _x000a_POTÊNCIA : 15KVA _x000a_TENSÃO :_x0009_ 13.8KV _x000a_Nº ENERGISA (CITD) : 150015 _x000a_Nº DE SÉRIE : 827738 _x000a_MARCA : TRAEL _x000a_DATA FABRICAÇÃO : 02/2026 _x000a_IMPEDANCIA : 2.5 _x000a_POS. TAP : 03 _x000a_"/>
  </r>
  <r>
    <x v="67"/>
    <s v="mar"/>
    <x v="0"/>
    <x v="1"/>
    <s v="EXPURGO"/>
    <x v="0"/>
    <s v="esteira 1.582"/>
    <s v="AUSENTE DA CRÍTICA"/>
    <n v="5700696045"/>
    <s v="ENC-MLAG01  000060/2026"/>
    <n v="662600154"/>
    <s v="2026-03-03 12:18"/>
    <s v="2026-03-04 18:23"/>
    <s v="FORMS SUBST DE TRANSFORMADOR"/>
    <s v="ETO-RD-AG"/>
    <s v="AUGUSTINOPOLIS"/>
    <s v="QUEIMADO"/>
    <s v="DESCARGA ATMOSFÉRICA"/>
    <s v="566197014"/>
    <n v="183077"/>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OCA DE TRAFO 5700696045 QUEIMADO DE 30KVA DA 34.5 PARA RAIOS QUEIMADO. ACESSO BOMTROCAR JOGO DE CHAVESUBSTITUIR OS GLV'SLEVAR ROLDANA DA BT."/>
    <s v="TROCA DE TRAFO 5700696045 QUEIMADO DE 30KVA DA 34.5 PARA RAIOS QUEIMADO. ACESSO BOM _x000a_TROCAR JOGO DE CHAVE _x000a_SUBSTITUIR OS GLV'S _x000a_LEVAR ROLDANA DA BT. _x000a_ _x000a_ _x000a_ _x000a_TRAFO Nº 5700696045 _x000a_ _x000a_TRAFO RETIRADO  _x000a_ _x000a_POTÊNCIA; 30KVA 34,5KV _x000a_DATA DE FAB; 07/99 REF.; 11/2017 _x000a_MARCA; SIEMENS - TRAEL _x000a_Nº CITD; 108243 _x000a_Nº SÉRIE; 566197014 _x000a_POS. DO TAP; 2 _x000a_IMPEDÂNCIA; 13,26 / 13,04 / 12,97 _x000a_ _x000a_TRAFO INSTALADO _x000a_ _x000a_POTÊNCIA; 30KVA 34,5KV _x000a_DATA DE FAB; 12/01 REF.; 04/2024  _x000a_MARCA; ABB - TRAEL PA _x000a_Nº CITD; 138765 _x000a_Nº SÉRIE; 183077 _x000a_POS. DO TAP; 2 _x000a_IMPEDÂNCIA;4,17 _x000a_MEDIÇÃO; 13,26 / 13,04 /12,97 _x000a_ _x000a_OBS; SUBST JOGO DE 03X CHAV"/>
  </r>
  <r>
    <x v="68"/>
    <s v="mar"/>
    <x v="0"/>
    <x v="1"/>
    <s v="EXPURGO"/>
    <x v="1"/>
    <s v="esteira 1.582"/>
    <s v="AUSENTE DA CRÍTICA"/>
    <n v="5700402060"/>
    <s v="ENC-MLAR01  000124/2026"/>
    <n v="612600249"/>
    <s v="2026-03-03 20:22"/>
    <s v="2026-03-04 15:25"/>
    <s v="FORMS SUBST DE TRANSFORMADOR"/>
    <s v="ETO-RD-AR"/>
    <s v="NOVA OLINDA"/>
    <s v="AVARIADO"/>
    <s v="VAZAMENTO DE ÓLEO"/>
    <s v="177002"/>
    <n v="249961"/>
    <s v="sim"/>
    <m/>
    <m/>
    <m/>
    <m/>
    <s v="não"/>
    <s v="leitura caso a caso"/>
    <s v="Fora do indicador: o ativo não existe na base de interrupção. Sem registro de interrupção não há evento a medir."/>
    <s v="TR-5700402060 vazando oleo para raios bompotência 10kvatensão 13,8kvacesso livreequipe 060op0102 tel-63992173964"/>
    <s v="ETO-RD-AR 415/2026 _x000a_TRAFO 5700402060 _x000a_TRAFO RETIRADO _x000a_POTÊNCIA : 10 KVA _x000a_TENSÃO :_x0009_ 13.8 KV _x000a_Nº ENERGISA (CITD) : 37130 _x000a_Nº DE SÉRIE : 177002 _x000a_MARCA : TRAEL _x000a_DATA FABRICAÇÃO : 01/2010 _x000a_IMPEDANCIA : 2,59 _x000a_POS. TAP : 03 _x000a_ _x000a_TRAFO INSTALADO _x000a_POTÊNCIA : 15 KVA _x000a_TENSÃO :_x0009_ 13.8 KVA _x000a_Nº ENERGISA (CITD) : 148823 _x000a_Nº DE SÉRIE : 249961 _x000a_MARCA : ITB _x000a_DATA FABRICAÇÃO : 11/2025 _x000a_IMPEDANCIA : 2,49 _x000a_POS. TAP : 05 _x000a_"/>
  </r>
  <r>
    <x v="69"/>
    <s v="mar"/>
    <x v="0"/>
    <x v="1"/>
    <s v="EXPURGO"/>
    <x v="0"/>
    <s v="esteira 1.582"/>
    <s v="AUSENTE DA CRÍTICA"/>
    <n v="5710028040"/>
    <s v="ENC-MLAR01  000130/2026"/>
    <n v="612600266"/>
    <s v="2026-03-06 22:17"/>
    <s v="2026-03-07 16:30"/>
    <s v="FORMS SUBST DE TRANSFORMADOR"/>
    <s v="ETO-RD-AR"/>
    <s v="ARAGOMINAS"/>
    <s v="QUEIMADO"/>
    <s v="DESCARGA ATMOSFÉRICA"/>
    <s v="388798"/>
    <n v="974078"/>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10028040 Queimado Potencia:15 KVATensão: 13,8 KVPara raio: Queimado Acesso: CamionetaEquipe: 040op36 (63)992870450"/>
    <s v="ETO-RD-AR 434/2026 _x000a_TRAFO  5710028040 _x000a_TRAFO RETIRADO _x000a_POTÊNCIA :15 KVA _x000a_TENSÃO :_x0009_ 13.8 KV _x000a_Nº ENERGISA (CITD) : 05100990 _x000a_Nº DE SÉRIE : 388798 _x000a_MARCA : TRAEL _x000a_DATA FABRICAÇÃO : 06/2016 _x000a_IMPEDANCIA : 2,4 _x000a_POS. TAP : 04 _x000a_ _x000a_TRAFO INSTALADO _x000a_POTÊNCIA : 15 KVA _x000a_TENSÃO :_x0009_ 13.8 KV _x000a_Nº ENERGISA (CITD) : 148906 _x000a_Nº DE SÉRIE : 974078 _x000a_MARCA : ITB _x000a_DATA FABRICAÇÃO : 2015 _x000a_IMPEDANCIA : 2,38 _x000a_POS. TAP : 05 _x000a_"/>
  </r>
  <r>
    <x v="70"/>
    <s v="mar"/>
    <x v="0"/>
    <x v="1"/>
    <s v="EXPURGO"/>
    <x v="0"/>
    <s v="esteira 1.582"/>
    <s v="AUSENTE DA CRÍTICA"/>
    <n v="5701771022"/>
    <s v="ENC-MLAR03  000007/2026"/>
    <n v="612600271"/>
    <s v="2026-03-07 13:00"/>
    <s v="2026-03-08 13:40"/>
    <s v="FORMS SUBST DE TRANSFORMADOR"/>
    <s v="ETO-RD-AR"/>
    <s v="BABACULANDIA"/>
    <s v="QUEIMADO"/>
    <s v="DESCARGA ATMOSFÉRICA"/>
    <s v="1611007"/>
    <n v="827838"/>
    <s v="sim"/>
    <m/>
    <m/>
    <m/>
    <m/>
    <s v="SIM"/>
    <s v="leitura caso a caso"/>
    <s v="Fora do indicador: o ativo não existe na base de interrupção. Sem registro de interrupção não há evento a medir."/>
    <s v="Trafo 5701771022 queimado 15kvaTensão: 34.5Acesso; somente para caminhonteEquipe: 004op27Endereço: Chacara Bela Vista"/>
    <s v="ETO-RD-AR 437/2026 _x000a_TRAFO  5701771022 _x000a_TRAFO RETIRADO _x000a_POTÊNCIA : 15 KVA _x000a_TENSÃO :_x0009_ 34.5 KV _x000a_Nº ENERGISA (CITD) : 142471 _x000a_Nº DE SÉRIE : 1611007 _x000a_MARCA : ITB _x000a_DATA FABRICAÇÃO : 05/2024 _x000a_IMPEDANCIA : 2,88 _x000a_POS. TAP : 05 _x000a_ _x000a_TRAFO INSTALADO _x000a_POTÊNCIA : 15 KVA _x000a_TENSÃO :_x0009_ 34.5 KV _x000a_Nº ENERGISA (CITD) : 150115 _x000a_Nº DE SÉRIE : 827838 _x000a_MARCA : TRAEL _x000a_DATA FABRICAÇÃO : 02/2026 _x000a_IMPEDANCIA : 3,0 _x000a_POS. TAP : 03 _x000a_"/>
  </r>
  <r>
    <x v="71"/>
    <s v="mar"/>
    <x v="0"/>
    <x v="1"/>
    <s v="EXPURGO"/>
    <x v="1"/>
    <s v="esteira 1.582"/>
    <s v="AUSENTE DA CRÍTICA"/>
    <n v="5701182022"/>
    <s v="ENC-MLAR01  000057/2026"/>
    <n v="612600272"/>
    <s v="2026-03-08 11:28"/>
    <s v="2026-03-07 18:00"/>
    <s v="AVISO DE ANOMALIA"/>
    <s v="ETO-RD-AR"/>
    <s v="BABACULANDIA"/>
    <s v="POSTE"/>
    <s v="DETERIORADA"/>
    <s v="172842"/>
    <n v="827803"/>
    <s v="sim"/>
    <m/>
    <m/>
    <m/>
    <m/>
    <s v="não"/>
    <s v="leitura caso a caso"/>
    <s v="Fora do indicador: o ativo não existe na base de interrupção. Sem registro de interrupção não há evento a medir."/>
    <s v="Bom dia Segue SSSenhores envia equipe na RDR de Babaçulândia para trocar poste e Trafo Trafo: 5701182022Poste: 10/200ID: 55662476Acesso:  Para caminhão e caminhoneteEndereço: Chácara Cantinho Pov. FarturãoOBS: Trocar poste e Trafo. "/>
    <s v="ETO-RD-AR 440/2026 _x000a_TRAFO  5701182022 _x000a_TRAFO RETIRADO _x000a_POTÊNCIA : 5 KVA _x000a_TENSÃO :_x0009_ 34.5 KV _x000a_Nº ENERGISA (CITD) : ILEGIVEL _x000a_Nº DE SÉRIE : 172842 _x000a_MARCA : VIJAI _x000a_DATA FABRICAÇÃO : 08/2010 _x000a_IMPEDANCIA : 3,11 _x000a_POS. TAP : 05 _x000a_ _x000a_TRAFO INSTALADO _x000a_POTÊNCIA : 15 KVA _x000a_TENSÃO :_x0009_ 34.5 KV _x000a_Nº ENERGISA (CITD) : 150080 _x000a_Nº DE SÉRIE : 827803 _x000a_MARCA : TRAEL _x000a_DATA FABRICAÇÃO : 02/2026 _x000a_IMPEDANCIA : 3,0 _x000a_POS. TAP : 05 _x000a_DEVIDO A EROSAO FOI DANIFICADO O  TRAFO TENDO QUE SUBTITUIR AVARIADO E O POSTE"/>
  </r>
  <r>
    <x v="72"/>
    <s v="mar"/>
    <x v="0"/>
    <x v="1"/>
    <s v="EXPURGO"/>
    <x v="0"/>
    <s v="esteira 1.582"/>
    <s v="AUSENTE DA CRÍTICA"/>
    <n v="5301889004"/>
    <s v="ENC-MLAR01  000136/2026"/>
    <n v="612600312"/>
    <s v="2026-03-12 19:30"/>
    <s v="2026-03-13 15:30"/>
    <s v="FORMS SUBST DE TRANSFORMADOR"/>
    <s v="ETO-RD-AR"/>
    <s v="ARAGUAINA"/>
    <s v="QUEIMADO"/>
    <s v="BUCHA DANIFICADA"/>
    <s v="141362"/>
    <n v="826192"/>
    <s v="sim"/>
    <m/>
    <m/>
    <m/>
    <m/>
    <s v="não"/>
    <s v="leitura caso a caso"/>
    <s v="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
    <s v="Trafo 570188904 queimado 15kvaAcesso: Somente caminhonetePara-raio; Queimado Equipe: 004op26"/>
    <s v="ETO-RD-AR 468/2026 _x000a_TRAFO 5701889004 _x000a_TRAFO RETIRADO _x000a_POTÊNCIA : 15 KVA _x000a_TENSÃO :_x0009_ 13.8 KV _x000a_Nº ENERGISA (CITD) : 7658 _x000a_Nº DE SÉRIE : 141362 _x000a_MARCA : ITB _x000a_DATA FABRICAÇÃO : 07/9 _x000a_IMPEDANCIA : 2,43 _x000a_POS. TAP : 03 _x000a_ _x000a_TRAFO INSTALADO _x000a_POTÊNCIA : 15 KVA _x000a_TENSÃO :_x0009_ 13.8 KV _x000a_Nº ENERGISA (CITD) : 149974 _x000a_Nº DE SÉRIE : 826192 _x000a_MARCA : TRAEL _x000a_DATA FABRICAÇÃO : 01/2026 _x000a_IMPEDANCIA : 2,5 _x000a_POS. TAP : 05 _x000a_"/>
  </r>
  <r>
    <x v="73"/>
    <s v="mar"/>
    <x v="0"/>
    <x v="1"/>
    <s v="EXPURGO"/>
    <x v="0"/>
    <s v="esteira 1.582"/>
    <s v="AUSENTE DA CRÍTICA"/>
    <n v="5752570159"/>
    <s v="ENC-MLAR05  000157/2026"/>
    <n v="612600330"/>
    <s v="2026-03-17 20:04"/>
    <s v="2026-03-18 21:24"/>
    <s v="FORMS SUBST DE TRANSFORMADOR"/>
    <s v="ETO-RD-AR"/>
    <s v="MURICILANDIA"/>
    <s v="QUEIMADO"/>
    <s v="DESCARGA ATMOSFÉRICA"/>
    <s v="1298121"/>
    <n v="586769"/>
    <s v="sim"/>
    <s v="CAUSA NAO IDENTIFICADA"/>
    <s v="CAUSA NAO IDENTIFICADA - ESPECIFICAR"/>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5752570159 30kva 34.5kv e para raioacesso livre"/>
    <s v="ETO-RD-AR 504/2026 _x000a_TRAFO 5752570159 _x000a_TRAFO RETIRADO _x000a_POTÊNCIA : 30 KVA _x000a_TENSÃO :_x0009_ 34.4 KV _x000a_Nº ENERGISA (CITD) : 129196 _x000a_Nº DE SÉRIE : 1298121 _x000a_MARCA : ROMAGNOLE _x000a_DATA FABRICAÇÃO : 06/2024 _x000a_IMPEDANCIA : 3,69 _x000a_POS. TAP : 4 _x000a_ _x000a_TRAFO INSTALADO _x000a_POTÊNCIA : 30 KVA _x000a_TENSÃO :_x0009_ 34.5 KV _x000a_Nº ENERGISA (CITD) : 147732 _x000a_Nº DE SÉRIE : 586769 _x000a_MARCA : ITAIPU _x000a_DATA FABRICAÇÃO : 07/2025 _x000a_IMPEDANCIA : 3,96 _x000a_POS. TAP : 04 _x000a_ _x000a_OBS: LANÇADO DISPONIBILIDADE REFERENTE AO DESLOCAMENTO DA SS ETO-RD-AG 224/2026 PARA FAZER MELHORIA,PORÉM NÃO FOI PRECISO DEVIDO NÃO TER TRAFO NO LOCAL."/>
  </r>
  <r>
    <x v="74"/>
    <s v="mar"/>
    <x v="0"/>
    <x v="1"/>
    <s v="EXPURGO"/>
    <x v="0"/>
    <s v="esteira 1.582"/>
    <s v="AUSENTE DA CRÍTICA"/>
    <n v="5702259004"/>
    <s v="ETO-RD-AR  000876/2026"/>
    <n v="612600355"/>
    <s v="2026-03-25 19:39"/>
    <s v="2026-03-26 17:28"/>
    <s v="FORMS SUBST DE TRANSFORMADOR"/>
    <s v="ETO-RD-AR"/>
    <s v="ARAGUAINA"/>
    <s v="QUEIMADO"/>
    <s v="NÃO IDENTIFICADO"/>
    <m/>
    <m/>
    <s v="não"/>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queimado 5702259004 queimado 15 kv 19,9 kva para raio Bom acesso bom.fazenda Santa Tereza - UC 3165559-0 cliente: Persio de Freitas Vilela. RDR Arapoema"/>
    <s v="trafo queimado 5702259004 queimado 15 kv 19,9 kva para raio Bom acesso bom. _x000a_fazenda Santa Tereza - UC 3165559-0 cliente: Persio de Freitas Vilela.  _x000a_RDR Arapoema"/>
  </r>
  <r>
    <x v="75"/>
    <s v="mar"/>
    <x v="0"/>
    <x v="1"/>
    <s v="EXPURGO"/>
    <x v="0"/>
    <s v="esteira 1.582"/>
    <s v="AUSENTE DA CRÍTICA"/>
    <n v="5710138077"/>
    <s v="ENC-MLAR02  000072/2026"/>
    <n v="612600344"/>
    <s v="2026-03-26 08:51"/>
    <s v="2026-03-27 18:00"/>
    <s v="FORMS SUBST DE TRANSFORMADOR"/>
    <s v="ETO-RD-AR"/>
    <s v="GOIATINS"/>
    <s v="AVARIADO"/>
    <s v="SOBRECARGA"/>
    <s v="69463"/>
    <m/>
    <s v="não"/>
    <m/>
    <m/>
    <m/>
    <m/>
    <s v="SIM"/>
    <s v="leitura caso a caso"/>
    <s v="Fora do indicador: o ativo não existe na base de interrupção. Sem registro de interrupção não há evento a medir."/>
    <s v="TR-5710138077 o mesmo não esta entregando a tensão adequadapara queimadopotência 10kvatensão 13,8kvacesso livreequipe 265op0 tel-63992212789"/>
    <s v="ETO-RD-AR 557/2026 _x000a_TRAFO 5710138077 _x000a_TRAFO RETIRADO _x000a_POTÊNCIA : 10 KVA _x000a_TENSÃO :_x0009_ 13.8 KV _x000a_Nº ENERGISA (CITD) : ILEGIVEL _x000a_Nº DE SÉRIE :69463 _x000a_MARCA : TRAEL _x000a_DATA FABRICAÇÃO : 11/2005 _x000a_IMPEDANCIA : 2,57 _x000a_POS. TAP : 03 _x000a_ _x000a_TRAFO INSTALADO _x000a_POTÊNCIA : 15 KVA _x000a_TENSÃO :_x0009_ 13.8 KV _x000a_Nº ENERGISA (CITD) : 149841 _x000a_Nº DE SÉRIE : C292465 _x000a_MARCA : ITAM _x000a_DATA FABRICAÇÃO : 10/2025 _x000a_IMPEDANCIA : 2,75 _x000a_POS. TAP : 05 _x000a_ _x000a_OBS: LANÇADO UMA HORA DE DISPONIBILIDADE REFERENTE AO SERVIÇO DA SS 569/2026 PARA SEGURAR POSTE."/>
  </r>
  <r>
    <x v="76"/>
    <s v="mar"/>
    <x v="0"/>
    <x v="1"/>
    <s v="EXPURGO"/>
    <x v="0"/>
    <s v="esteira 1.582"/>
    <s v="AUSENTE DA CRÍTICA"/>
    <n v="5710015080"/>
    <s v="ENC-MLAR03  000042/2026"/>
    <n v="612600374"/>
    <s v="2026-03-31 20:03"/>
    <s v="2026-04-02 14:50"/>
    <s v="FORMS SUBST DE TRANSFORMADOR"/>
    <s v="ETO-RD-AR"/>
    <s v="DARCINOPOLIS"/>
    <s v="QUEIMADO"/>
    <s v="SOBRECARGA"/>
    <s v="533216"/>
    <n v="828055"/>
    <s v="sim"/>
    <m/>
    <m/>
    <m/>
    <m/>
    <s v="SIM"/>
    <s v="leitura caso a caso"/>
    <s v="Fora do indicador: o ativo não existe na base de interrupção. Sem registro de interrupção não há evento a medir."/>
    <s v="Trafo: 5710015080 QueimadoPotência: 15 KVARede: 34.5Pararaio: 34.5Acesso: só pra veículo traçadoSubstituir o mesmo pois está com a bucha primária quebrado por descarga atmosférica"/>
    <s v="ETO-RD-AR 582/2026 _x000a_TRAFO 5710015080 _x000a_TRAFO RETIRADO _x000a_POTÊNCIA : 15 KVA _x000a_TENSÃO :_x0009_ 3465 KV _x000a_Nº ENERGISA (CITD) : 6123420 _x000a_Nº DE SÉRIE : 533216 _x000a_MARCA : TRAEL _x000a_DATA FABRICAÇÃO : 03/2020 _x000a_IMPEDANCIA : 3,0 _x000a_POS. TAP : 05 _x000a_ _x000a_TRAFO INSTALADO _x000a_POTÊNCIA : 15 KVA _x000a_TENSÃO :_x0009_ 34.5 KV _x000a_Nº ENERGISA (CITD) : 150332 _x000a_Nº DE SÉRIE : 828055 _x000a_MARCA : TRAEL _x000a_DATA FABRICAÇÃO : 02/2026 _x000a_IMPEDANCIA : 3,0 _x000a_POS. TAP : 05 _x000a_"/>
  </r>
  <r>
    <x v="77"/>
    <s v="mar"/>
    <x v="0"/>
    <x v="1"/>
    <s v="EXPURGO"/>
    <x v="0"/>
    <s v="esteira 1.582"/>
    <s v="AUSENTE DA CRÍTICA"/>
    <n v="5731386073"/>
    <s v="ETO-RD-GU  000932/2026"/>
    <n v="412600315"/>
    <s v="2026-03-23 18:27"/>
    <s v="2026-03-25 15:50"/>
    <s v="FORMS SUBST DE TRANSFORMADOR"/>
    <s v="ETO-RD-GU"/>
    <s v="LAGOA DA CONFUSAO"/>
    <s v="QUEIMADO"/>
    <s v="DESCARGA ATMOSFÉRICA"/>
    <s v="368891"/>
    <n v="827891"/>
    <s v="sim"/>
    <s v="TRANSFORMADOR"/>
    <s v="QUEIMADO POR CAUSA NAO IDENTIFICAD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31386073 QUEIMADO EM CAMPO DE 15 KVA ACESSO APENAS DE BARCO REGIAO ALAGADAPARA RAIO QUEIMADO   ."/>
    <s v="SS: ETO-RD-GU 377-2026 _x000a_ _x000a_LOCALIDADE: LAGOA DA CONFUSÃO _x000a_ _x000a_FOI FEITO A TROCA DE UM TRANSFORMADOR DE 15KVA POR 15KVA"/>
  </r>
  <r>
    <x v="78"/>
    <s v="abr"/>
    <x v="0"/>
    <x v="1"/>
    <s v="EXPURGO"/>
    <x v="0"/>
    <s v="esteira 1.582"/>
    <s v="AUSENTE DA CRÍTICA"/>
    <n v="5700494044"/>
    <s v="DG-MLPO02  000062/2026"/>
    <n v="312600263"/>
    <s v="2026-04-14 17:47"/>
    <s v="2026-04-15 11:50"/>
    <s v="FORMS SUBST DE TRANSFORMADOR"/>
    <s v="DG-RD-PO"/>
    <s v="FATIMA"/>
    <s v="QUEIMADO"/>
    <s v="BUCHA DANIFICADA"/>
    <s v="186148"/>
    <n v="827744"/>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s para trocar trafo 5700494044 e para raio queimado POTENCIA: 15KVA 7.9KVACESSO CAMINHONETE, CARRO FICA A 30 METROS DO LOCAL"/>
    <s v="medido_ _x000a_emergencial_ _x000a_ _x000a_ _x000a_substituição de trafo queimado rdr fatima _x000a_"/>
  </r>
  <r>
    <x v="79"/>
    <s v="abr"/>
    <x v="0"/>
    <x v="1"/>
    <s v="EXPURGO"/>
    <x v="0"/>
    <s v="esteira 1.582"/>
    <s v="AUSENTE DA CRÍTICA"/>
    <n v="5704106122"/>
    <s v="DLP-CTPA00  000069/2026"/>
    <n v="112600401"/>
    <s v="2026-04-09 12:30"/>
    <s v="2026-04-09 18:00"/>
    <s v="FORMS SUBST DE TRANSFORMADOR"/>
    <s v="DOLP-RD-PA"/>
    <s v="PALMAS"/>
    <s v="QUEIMADO"/>
    <s v="DESCARGA ATMOSFÉRICA"/>
    <s v="0"/>
    <n v="0"/>
    <s v="não"/>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nota de trafo queimado, trafo 5704106122, trafo de 45kva, tensao 13800 / 380 V, para raio danificado, acesso livre"/>
    <s v="MEDIDO_ _x000a_ _x000a_01. Baixado para consumo de material _x000a_ _x000a_segue nota de trafo queimado, trafo 5704106122, trafo de 45kva, tensao 13800 / 380 V, para raio danificado, acesso livre _x000a_ _x000a_DADOS DO ATENDIMENTO:  _x000a_EQUIPE: 833021 - DOLP-CT-PA11 _x000a_ENCARREGADO: PAFILO ANDALECIO _x000a_DATA: 09/04/2026"/>
  </r>
  <r>
    <x v="80"/>
    <s v="abr"/>
    <x v="0"/>
    <x v="1"/>
    <s v="EXPURGO"/>
    <x v="0"/>
    <s v="esteira 1.582"/>
    <s v="AUSENTE DA CRÍTICA"/>
    <n v="5701060070"/>
    <s v="ENC-LMPS04  000063/2026"/>
    <n v="212600400"/>
    <s v="2026-04-07 15:20"/>
    <s v="2026-04-08 15:45"/>
    <s v="FORMS SUBST DE TRANSFORMADOR"/>
    <s v="ENC-RD-PS"/>
    <s v="RIO SONO"/>
    <s v="QUEIMADO"/>
    <s v="DESCARGA ATMOSFÉRICA"/>
    <s v="482388"/>
    <n v="827361"/>
    <s v="sim"/>
    <m/>
    <m/>
    <m/>
    <m/>
    <s v="SIM"/>
    <s v="leitura caso a caso"/>
    <s v="Fora do indicador: o ativo não existe na base de interrupção. Sem registro de interrupção não há evento a medir."/>
    <s v="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
    <s v="SS ENC-RD-PS 438/2026 _x000a_ trafo 5700487007 _x000a_ _x000a_ _x000a_TRAFO RETIRADO _x000a_POTÊNCIA : 15KVA _x000a_TENSÃO :_x0009_ 34.5KV _x000a_Nº ENERGISA (CITD) : 06118154 _x000a_Nº DE SÉRIE : 482388 _x000a_MARCA : TRAEL _x000a_DATA FABRICAÇÃO : AGO/2018 _x000a_IMPEDANCIA : 2.92 _x000a_POS. TAP : 03 _x000a_ _x000a_TRAFO INSTALADO' _x000a_POTÊNCIA : 15KVA _x000a_TENSÃO :_x0009_ 34.5KV _x000a_Nº ENERGISA (CITD) : 150239 _x000a_Nº DE SÉRIE : 827362 _x000a_MARCA : TRAEL _x000a_DATA FABRICAÇÃO : 02/2026 _x000a_IMPEDANCIA : 3.0 _x000a_POS. TAP : 03 _x000a_"/>
  </r>
  <r>
    <x v="81"/>
    <s v="abr"/>
    <x v="0"/>
    <x v="1"/>
    <s v="EXPURGO"/>
    <x v="1"/>
    <s v="esteira 1.582"/>
    <s v="AUSENTE DA CRÍTICA"/>
    <n v="5700145002"/>
    <s v="ENC-MLAG02  000137/2026"/>
    <n v="662600268"/>
    <s v="2026-04-22 08:06"/>
    <s v="2026-04-23 06:14"/>
    <s v="FORMS SUBST DE TRANSFORMADOR"/>
    <s v="ETO-RD-AG"/>
    <s v="TOCANTINOPOLIS"/>
    <s v="AVARIADO"/>
    <s v="BUCHA DANIFICADA"/>
    <s v="49185"/>
    <m/>
    <s v="não"/>
    <m/>
    <m/>
    <m/>
    <m/>
    <s v="SIM"/>
    <s v="leitura caso a caso"/>
    <s v="Fora do indicador: o ativo não existe na base de interrupção. Sem registro de interrupção não há evento a medir."/>
    <s v="Segue SS de TR 5700145002 15KVA/7.9KV avariado com a bucha primária trincada e vazamento de óleo nas buchas secundárias.Acesso livre.UC 218774DISTRITO SANITARIO ESPECIAL INDIGENA TOCANTINSJoison 63 98404-8858"/>
    <s v="Segue SS de TR 5700145002 15KVA/7.9KV avariado com a bucha primária trincada e vazamento de óleo nas buchas secundárias. _x000a_Acesso livre. _x000a_UC 218774 _x000a_DISTRITO SANITARIO ESPECIAL INDIGENA TOCANTINS _x000a_Joison 63 98404-8858 _x000a_ _x000a_ _x000a_TRAFO Nº 5700145002 _x000a_ _x000a_TRAFO RETIRADO  _x000a_ _x000a_POTÊNCIA; 15KVA 13.8KV _x000a_DATA DE FAB; 12/2024 _x000a_MARCA; TRAEL _x000a_Nº CITD; N/A _x000a_Nº SÉRIE; 49185 _x000a_IMPEDÂNCIA; 2,57 _x000a_POS. DO TAP. 1º _x000a_ _x000a_TRAFO INSTALADO _x000a_ _x000a_POTÊNCIA; 15KVA 13.8KV _x000a_DATA DE FAB; 12/2025 _x000a_MARCA; ITAM _x000a_Nº CITD; 149856 _x000a_Nº SÉRIE; C.297820 _x000a_IMPEDÂNCIA; 2,6 _x000a_POS. DO TAP. 4º _x000a_MEDIÇÃO; 1,47 / 2,03 / 3,20"/>
  </r>
  <r>
    <x v="82"/>
    <s v="abr"/>
    <x v="0"/>
    <x v="1"/>
    <s v="EXPURGO"/>
    <x v="0"/>
    <s v="esteira 1.582"/>
    <s v="AUSENTE DA CRÍTICA"/>
    <n v="5761134022"/>
    <s v="ENC-MLAR01  000177/2026"/>
    <n v="612600400"/>
    <s v="2026-04-10 10:56"/>
    <s v="2026-04-10 14:49"/>
    <s v="FORMS SUBST DE TRANSFORMADOR"/>
    <s v="ETO-RD-AR"/>
    <s v="BABACULANDIA"/>
    <s v="QUEIMADO"/>
    <s v="NÃO IDENTIFICADO"/>
    <s v="581755"/>
    <n v="1319660"/>
    <s v="sim"/>
    <m/>
    <m/>
    <m/>
    <m/>
    <s v="SIM"/>
    <s v="leitura caso a caso"/>
    <s v="Fora do indicador: o ativo não existe na base de interrupção. Sem registro de interrupção não há evento a medir."/>
    <s v="trafo 5761134022 75kva 34.5kv queimado"/>
    <s v="ETO-RD-AR 658/2026 _x000a_TRAFO  5761134022 _x000a_TRAFO RETIRADO _x000a_POTÊNCIA : 75 KVA _x000a_TENSÃO :_x0009_ 34.5 KV _x000a_Nº ENERGISA (CITD) : 303445 _x000a_Nº DE SÉRIE : 581755 _x000a_MARCA : TRAEL _x000a_DATA FABRICAÇÃO : 06/2021 _x000a_IMPEDANCIA : 4,02 _x000a_POS. TAP : 04 _x000a_ _x000a_TRAFO INSTALADO _x000a_POTÊNCIA : 75 KVA _x000a_TENSÃO :_x0009_ 34.5 KV _x000a_Nº ENERGISA (CITD) : 129465 _x000a_Nº DE SÉRIE : 1319660 _x000a_MARCA : ROMAGNOLE _x000a_DATA FABRICAÇÃO : 2021 _x000a_IMPEDANCIA : 3,99 _x000a_POS. TAP : 04 _x000a_"/>
  </r>
  <r>
    <x v="83"/>
    <s v="abr"/>
    <x v="0"/>
    <x v="1"/>
    <s v="EXPURGO"/>
    <x v="1"/>
    <s v="esteira 1.582"/>
    <s v="AUSENTE DA CRÍTICA"/>
    <n v="5766930077"/>
    <s v="ENC-MPAR01  000025/2026"/>
    <n v="612600428"/>
    <s v="2026-04-16 12:36"/>
    <s v="2026-04-17 16:30"/>
    <s v="AVISO DE ANOMALIA"/>
    <s v="ETO-RD-AR"/>
    <s v="GOIATINS"/>
    <s v="AVARIADO"/>
    <s v="VAZAMENTO DE ÓLEO"/>
    <s v="C 287176"/>
    <n v="827951"/>
    <s v="sim"/>
    <m/>
    <m/>
    <m/>
    <m/>
    <s v="não"/>
    <s v="leitura caso a caso"/>
    <s v="Fora do indicador: o ativo não existe na base de interrupção. Sem registro de interrupção não há evento a medir."/>
    <s v="Boa tarde,Favor enviar manutenção para verificar trafo com vazamento de oleo no comutador de TAPTensão: 34,5Potencia: 15 kvaPara raio bomACESSO LIVREChacara Deus e Fiel"/>
    <s v="ETO-RD-AR 690/2026 _x000a_TRAFO 5766930077 _x000a_TRAFO RETIRADO _x000a_POTÊNCIA : 15 KVA _x000a_TENSÃO :_x0009_ 34.5 KV _x000a_Nº ENERGISA (CITD) : 148039 _x000a_Nº DE SÉRIE : C 287176 _x000a_MARCA : ITAM _x000a_DATA FABRICAÇÃO : 09/2025 _x000a_IMPEDANCIA : 3,10 _x000a_POS. TAP : 05 _x000a_ _x000a_TRAFO INSTALADO _x000a_POTÊNCIA : 15 KVA _x000a_TENSÃO :_x0009_ 34.5 KV _x000a_Nº ENERGISA (CITD) : 150228 _x000a_Nº DE SÉRIE : 827951 _x000a_MARCA : TRAEL _x000a_DATA FABRICAÇÃO : 02/2026 _x000a_IMPEDANCIA : 3,0 _x000a_POS. TAP : 05 _x000a_ _x000a_MEDIÇÃO 1: 15.32 _x000a_MEDIÇÃO 2: 14.39 _x000a_MEDIÇÃO 3: 11.16 _x000a_"/>
  </r>
  <r>
    <x v="84"/>
    <s v="abr"/>
    <x v="0"/>
    <x v="1"/>
    <s v="EXPURGO"/>
    <x v="0"/>
    <s v="esteira 1.582"/>
    <s v="AUSENTE DA CRÍTICA"/>
    <n v="5710170025"/>
    <s v="ENC-MPAR01  000026/2026"/>
    <n v="612600429"/>
    <s v="2026-04-17 14:38"/>
    <s v="2026-04-18 15:56"/>
    <s v="FORMS SUBST DE TRANSFORMADOR"/>
    <s v="ETO-RD-AR"/>
    <s v="ARAPOEMA"/>
    <s v="QUEIMADO"/>
    <s v="VAZAMENTO DE ÓLEO"/>
    <s v="1663552"/>
    <n v="828161"/>
    <s v="sim"/>
    <m/>
    <m/>
    <m/>
    <m/>
    <s v="SIM"/>
    <s v="leitura caso a caso"/>
    <s v="Fora do indicador: o ativo não existe na base de interrupção. Sem registro de interrupção não há evento a medir."/>
    <s v="trafo 5710170025 queimado acesso bom para caminhonete 25kvaequipe 025op01"/>
    <s v="ETO-RD-AR 700/2026 _x000a_TRAFO  5710170025 _x000a_TRAFO RETIRADO _x000a_POTÊNCIA : 25 KVA _x000a_TENSÃO :_x0009_ 34.5 KV _x000a_Nº ENERGISA (CITD) : ILEGIVEL _x000a_Nº DE SÉRIE : 186352 _x000a_MARCA : UNIÃO _x000a_DATA FABRICAÇÃO : 09/2001 _x000a_IMPEDANCIA : 3,0 _x000a_POS. TAP : 03 _x000a_ _x000a_TRAFO INSTALADO _x000a_POTÊNCIA : 25 KVA _x000a_TENSÃO :_x0009_ 34.5 KV _x000a_Nº ENERGISA (CITD) : 150438 _x000a_Nº DE SÉRIE : 828161 _x000a_MARCA : TRAEL _x000a_DATA FABRICAÇÃO : 02/2026 _x000a_IMPEDANCIA : 3,0 _x000a_POS. TAP : 05 _x000a_ _x000a_MEDIÇÃO 1: _x000a_MEDIÇÃO 2: _x000a_MEDIÇÃO 3: _x000a_"/>
  </r>
  <r>
    <x v="85"/>
    <s v="abr"/>
    <x v="0"/>
    <x v="1"/>
    <s v="EXPURGO"/>
    <x v="0"/>
    <s v="esteira 1.582"/>
    <s v="AUSENTE DA CRÍTICA"/>
    <n v="5701086022"/>
    <s v="ENC-MLAR01  000190/2026"/>
    <n v="612600425"/>
    <s v="2026-04-18 17:12"/>
    <s v="2026-04-19 11:35"/>
    <s v="FORMS SUBST DE TRANSFORMADOR"/>
    <s v="ETO-RD-AR"/>
    <s v="BABACULANDIA"/>
    <s v="QUEIMADO"/>
    <s v="DESCARGA ATMOSFÉRICA"/>
    <s v="E1274"/>
    <n v="827915"/>
    <s v="sim"/>
    <s v="CHAVE FUSIVEL/RELIGADORA"/>
    <s v="PORTA-FUSIVEL DANIFICADO"/>
    <s v="CHAVE FUSIVEL/RELIGADORA"/>
    <s v="PORTA-FUSIVEL DANIFICADO"/>
    <s v="SIM"/>
    <s v="leitura caso a caso"/>
    <s v="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
    <s v="Trafo 5701086022 Queimado Potencia: 15 KVATensão: 34,5 KVPara raio: Queimado Acesso: livreEquipe: 022op02 (63)99255-6152Obs.: leva porta fusivel"/>
    <s v="ETO-RD-AR 702/2026 _x000a_TRAFO 5701086022 _x000a_TRAFO RETIRADO _x000a_POTÊNCIA : 15 kva _x000a_TENSÃO :_x0009_ 34.5 KV _x000a_Nº ENERGISA (CITD) : P50027 _x000a_Nº DE SÉRIE : E1274 _x000a_MARCA : ELETROPAULO _x000a_DATA FABRICAÇÃO : 05/2009 _x000a_IMPEDANCIA : 3,0 _x000a_POS. TAP : 03 _x000a_ _x000a_TRAFO INSTALADO _x000a_POTÊNCIA : 15 KVA _x000a_TENSÃO :_x0009_ 34.5 KV _x000a_Nº ENERGISA (CITD) : 150192 _x000a_Nº DE SÉRIE : 827915 _x000a_MARCA : TRAEL _x000a_DATA FABRICAÇÃO : 02/2026 _x000a_IMPEDANCIA : 3,0 _x000a_POS. TAP : 05 _x000a_ _x000a_MEDIÇÃO 1: 1.15 _x000a_MEDIÇÃO 2: 2.04 _x000a_MEDIÇÃO 3: 3.55 _x000a_SUBST CHAVE FUSIVEL DANIFICADA 03101634022"/>
  </r>
  <r>
    <x v="86"/>
    <s v="abr"/>
    <x v="0"/>
    <x v="1"/>
    <s v="EXPURGO"/>
    <x v="1"/>
    <s v="esteira 1.582"/>
    <s v="AUSENTE DA CRÍTICA"/>
    <n v="5710274030"/>
    <s v="ENC-MLAR02  000087/2026"/>
    <n v="612600446"/>
    <s v="2026-04-25 18:08"/>
    <s v="2026-04-26 14:40"/>
    <s v="FORMS SUBST DE TRANSFORMADOR"/>
    <s v="ETO-RD-AR"/>
    <s v="XAMBIOA"/>
    <s v="AVARIADO"/>
    <s v="VAZAMENTO DE ÓLEO"/>
    <s v="392354"/>
    <n v="822891"/>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5710274030 transformador,esta com vazamento de óleo. Mas sem interrupção de Energia. 5 kVA. da 19.9 Local de livre acesso para caminhonete. Para raios bom"/>
    <s v="ETO-RD-AR 742/2026 _x000a_TRAFO 5710274030 _x000a_TRAFO RETIRADO _x000a_POTÊNCIA : 10 kva _x000a_TENSÃO :_x0009_ 34.5 KV _x000a_Nº ENERGISA (CITD) : 15775 _x000a_Nº DE SÉRIE : 392354 _x000a_MARCA : ITB _x000a_DATA FABRICAÇÃO : 03/2006 _x000a_IMPEDANCIA : 2,85 _x000a_POS. TAP : 03 _x000a_ _x000a_TRAFO INSTALADO _x000a_POTÊNCIA : 15 KVA _x000a_TENSÃO :_x0009_ 34.5 KV _x000a_Nº ENERGISA (CITD) : 149456 _x000a_Nº DE SÉRIE : 822891 _x000a_MARCA :TRAEL _x000a_DATA FABRICAÇÃO : 02/2026 _x000a_IMPEDANCIA : 3,0 _x000a_POS. TAP : 05 _x000a_ _x000a_MEDIÇÃO 1: 17.01 _x000a_MEDIÇÃO 2: 16.93 _x000a_MEDIÇÃO 3: 14.19 _x000a_"/>
  </r>
  <r>
    <x v="87"/>
    <s v="abr"/>
    <x v="0"/>
    <x v="1"/>
    <s v="EXPURGO"/>
    <x v="0"/>
    <s v="esteira 1.582"/>
    <s v="AUSENTE DA CRÍTICA"/>
    <n v="5710235080"/>
    <s v="ENC-MPAR01  000046/2026"/>
    <n v="612600464"/>
    <s v="2026-04-29 08:53"/>
    <s v="2026-04-28 15:50"/>
    <s v="AVISO DE ANOMALIA"/>
    <s v="ETO-RD-AR"/>
    <s v="DARCINOPOLIS"/>
    <s v="QUEIMADO"/>
    <s v="DESCARGA ATMOSFÉRICA"/>
    <s v="690163"/>
    <n v="822876"/>
    <s v="sim"/>
    <m/>
    <m/>
    <m/>
    <m/>
    <s v="não"/>
    <s v="leitura caso a caso"/>
    <s v="Fora do indicador: o ativo não existe na base de interrupção. Sem registro de interrupção não há evento a medir."/>
    <s v="NOTA ABERTA PARA CORREÇÃO DA SS 751/2026 POIS O TRAFO QUE ESTAVA QUEIMADO E O 5710235080"/>
    <s v="ETO-RD-AR 763/2026 _x000a_TRAFO 5710235080 _x000a_TRAFO RETIRADO _x000a_POTÊNCIA : 15 KVA _x000a_TENSÃO :_x0009_ 34.5 KV _x000a_Nº ENERGISA (CITD) : 39532 _x000a_Nº DE SÉRIE : 690163 _x000a_MARCA : ITB _x000a_DATA FABRICAÇÃO : 08/2010 _x000a_IMPEDANCIA : 3,19 _x000a_POS. TAP : 05 _x000a_ _x000a_TRAFO INSTALADO _x000a_POTÊNCIA : 15 KVA _x000a_TENSÃO :_x0009_ 34.5 KV _x000a_Nº ENERGISA (CITD) : 149441 _x000a_Nº DE SÉRIE : 822876 _x000a_MARCA : TRAEL _x000a_DATA FABRICAÇÃO : 02/2026 _x000a_IMPEDANCIA : 3,0 _x000a_POS. TAP : 05 _x000a_ _x000a_MEDIÇÃO 1:19.38 _x000a_MEDIÇÃO 2:18.87 _x000a_MEDIÇÃO 3:15.24 _x000a_"/>
  </r>
  <r>
    <x v="88"/>
    <s v="abr"/>
    <x v="0"/>
    <x v="1"/>
    <s v="EXPURGO"/>
    <x v="0"/>
    <s v="esteira 1.582"/>
    <s v="AUSENTE DA CRÍTICA"/>
    <n v="5700290030"/>
    <s v="ENC-MLAR05  000206/2026"/>
    <n v="612600472"/>
    <s v="2026-04-29 18:02"/>
    <s v="2026-04-30 15:53"/>
    <s v="FORMS SUBST DE TRANSFORMADOR"/>
    <s v="ETO-RD-AR"/>
    <s v="PIRAQUE"/>
    <s v="QUEIMADO"/>
    <s v="SOBRECARGA"/>
    <s v="185261"/>
    <n v="822886"/>
    <s v="sim"/>
    <m/>
    <m/>
    <m/>
    <m/>
    <s v="SIM"/>
    <s v="leitura caso a caso"/>
    <s v="Fora do indicador: o ativo não existe na base de interrupção. Sem registro de interrupção não há evento a medir."/>
    <s v="TRAFO QUEIMADO 5700920030POTENCIA: 5KVATENSÃO: 34,5KVACESSO BOM.PARA-RAIO QUEIMADO.FAZ. MORENA 1"/>
    <s v="ETO-RD-AR 773/2026 _x000a_TRAFO 5700920030 _x000a_TRAFO RETIRADO _x000a_POTÊNCIA : 05 KVA _x000a_TENSÃO :_x0009_ 34.5 KV _x000a_Nº ENERGISA (CITD) : 185261 _x000a_Nº DE SÉRIE : S/N _x000a_MARCA : S/N _x000a_DATA FABRICAÇÃO : S/N _x000a_IMPEDANCIA : S/N _x000a_POS. TAP : S/N _x000a_ _x000a_TRAFO INSTALADO _x000a_POTÊNCIA : 15 KVA _x000a_TENSÃO :_x0009_ 34.5 KV _x000a_Nº ENERGISA (CITD) : 14945 _x000a_Nº DE SÉRIE : 822886 _x000a_MARCA : TRAEL _x000a_DATA FABRICAÇÃO : 02/2026 _x000a_IMPEDANCIA : 3,0 _x000a_POS. TAP : 05 _x000a_"/>
  </r>
  <r>
    <x v="89"/>
    <s v="abr"/>
    <x v="0"/>
    <x v="1"/>
    <s v="EXPURGO"/>
    <x v="0"/>
    <s v="esteira 1.582"/>
    <s v="AUSENTE DA CRÍTICA"/>
    <n v="5700702019"/>
    <s v="ENC-MLAR02  000091/2026"/>
    <n v="612600471"/>
    <s v="2026-04-30 11:15"/>
    <s v="2026-04-30 18:12"/>
    <s v="FORMS SUBST DE TRANSFORMADOR"/>
    <s v="ETO-RD-AR"/>
    <s v="FILADELFIA"/>
    <s v="QUEIMADO"/>
    <s v="VAZAMENTO DE ÓLEO"/>
    <s v="126189"/>
    <n v="799422"/>
    <s v="sim"/>
    <m/>
    <m/>
    <m/>
    <m/>
    <s v="SIM"/>
    <s v="leitura caso a caso"/>
    <s v="Fora do indicador: o código não aparece na Crítica em papel nenhum — nem com defeito, nem interrompido, nem manobrado — nos sete meses do acervo; nem o teste do vizinho achou explicação."/>
    <s v="Trafo 5700702019 15kvaAcesso: Livre Equipe:019op02Contato da equipe : 99242-6260"/>
    <s v="ETO-RD-AR 775/2026 _x000a_TRAFO 5700702019 _x000a_TRAFO RETIRADO _x000a_POTÊNCIA : 5 KVA _x000a_TENSÃO :_x0009_ 34.5 KV _x000a_Nº ENERGISA (CITD) : ILEGIVEL _x000a_Nº DE SÉRIE : 126189 _x000a_MARCA : VIJAI _x000a_DATA FABRICAÇÃO : 09/2008 _x000a_IMPEDANCIA : 3,13 _x000a_POS. TAP : 05 _x000a_ _x000a_TRAFO INSTALADO _x000a_POTÊNCIA : 15 KVA _x000a_TENSÃO :_x0009_ 34.5 KV _x000a_Nº ENERGISA (CITD) : 150762 _x000a_Nº DE SÉRIE : 799422 _x000a_MARCA : TRAEL _x000a_DATA FABRICAÇÃO : 10/2025 _x000a_IMPEDANCIA : 3,0 _x000a_POS. TAP : 05 _x000a_"/>
  </r>
  <r>
    <x v="90"/>
    <s v="abr"/>
    <x v="0"/>
    <x v="1"/>
    <s v="EXPURGO"/>
    <x v="0"/>
    <s v="esteira 1.582"/>
    <s v="AUSENTE DA CRÍTICA"/>
    <n v="5700456038"/>
    <s v="ETO-RD-DP  000760/2026"/>
    <n v="512600133"/>
    <s v="2026-04-19 12:14"/>
    <s v="2026-04-24 12:22"/>
    <s v="FORMS SUBST DE TRANSFORMADOR"/>
    <s v="ETO-RD-DP"/>
    <s v="TAGUATINGA"/>
    <s v="AVARIADO"/>
    <s v="BUCHA DANIFICADA"/>
    <s v="180034"/>
    <n v="820162"/>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e para raio queimado 5700456038 15kva 19.9kv faz.oriente rdr de taguatinga equipe 038op01"/>
    <s v="Atendida pela equipe ETO ML DP 02"/>
  </r>
  <r>
    <x v="91"/>
    <s v="abr"/>
    <x v="0"/>
    <x v="1"/>
    <s v="EXPURGO"/>
    <x v="0"/>
    <s v="esteira 1.582"/>
    <s v="AUSENTE DA CRÍTICA"/>
    <n v="5700214066"/>
    <s v="ENC-MPGR01  000062/2026"/>
    <n v="712600282"/>
    <s v="2026-04-03 10:19"/>
    <s v="2026-04-03 21:05"/>
    <s v="FORMS SUBST DE TRANSFORMADOR"/>
    <s v="ETO-RD-GR"/>
    <s v="TUPIRATINS"/>
    <s v="QUEIMADO"/>
    <s v="DESCARGA ATMOSFÉRICA"/>
    <s v="389793"/>
    <n v="828102"/>
    <s v="sim"/>
    <m/>
    <m/>
    <m/>
    <m/>
    <s v="não"/>
    <s v="leitura caso a caso"/>
    <s v="Fora do indicador: o código não aparece na Crítica em papel nenhum — nem com defeito, nem interrompido, nem manobrado — nos sete meses do acervo; nem o teste do vizinho achou explicação."/>
    <s v="acionar equipe de manutencao para troca do poste e transformador no RDR de [0066] TUPIRATINStrafo 5700214066poste 10-300 id.: 49935819  estrutura u3-Tequipe 034op03"/>
    <s v="TROCA DE TRAFO QUEIMADO 5700214066 ETO-RD-GR 400/2026 ZONA RURAL - TUPIRATINS 0066 _x000a_ _x000a_TRAFO RETIRADO _x000a_POTÊNCIA : 15KVA _x000a_TENSÃO : 19.9KV_x0009_ _x000a_Nº ENERGISA (CITD) : CITD061006 _x000a_Nº DE SÉRIE : 389793 _x000a_MARCA : TRAEL _x000a_DATA FABRICAÇÃO : 06/2016 _x000a_IMPEDANCIA : 2.92 _x000a_POS. TAP : 03 _x000a_ _x000a_TRAFO INSTALADO _x000a_POTÊNCIA : 15KVA _x000a_TENSÃO : 19.9KV_x0009_ _x000a_Nº ENERGISA (CITD) : 150379 _x000a_Nº DE SÉRIE : 828102 _x000a_MARCA : TRAEL _x000a_DATA FABRICAÇÃO : 02/2026 _x000a_IMPEDANCIA : 3.0 _x000a_POS. TAP : 03 _x000a_ _x000a_MEDIÇÃO 1: 00.15 _x000a_MEDIÇÃO 2: 00.14 _x000a_MEDIÇÃO 3: 00.12 _x000a_ _x000a_COORDENADA _x000a_X: 808852 _x000a_Y: 9053576 _x000a_"/>
  </r>
  <r>
    <x v="92"/>
    <s v="abr"/>
    <x v="0"/>
    <x v="1"/>
    <s v="EXPURGO"/>
    <x v="0"/>
    <s v="esteira 1.582"/>
    <s v="AUSENTE DA CRÍTICA"/>
    <n v="5700284148"/>
    <s v="DBM-MLDB05  000086/2026"/>
    <n v="412600378"/>
    <s v="2026-04-07 18:19"/>
    <s v="2026-04-08 20:00"/>
    <s v="FORMS SUBST DE TRANSFORMADOR"/>
    <s v="ETO-RD-GU"/>
    <s v="SAO VALERIO"/>
    <s v="SOBRECARGA PREVENTIVA"/>
    <s v="NÃO IDENTIFICADO"/>
    <s v="1025954"/>
    <n v="827970"/>
    <s v="sim"/>
    <m/>
    <m/>
    <m/>
    <m/>
    <s v="não"/>
    <s v="leitura caso a caso"/>
    <s v="Fora do indicador: o ativo não existe na base de interrupção. Sem registro de interrupção não há evento a medir."/>
    <s v="SEGUE SS DE TRAFO QUEIMADO NA RDR DE SAO VALERIO, TRAFO DE 15KVA NA REDE DE 19.9KV, TRAFO E PARARAIO QUEIMADO, ACESSO LIVRE PARA CAMINHONETE."/>
    <s v="SUBSTITUIÇÃO DE TRANSFORMADOR NA RDR DE SÃO VALÉRIO _x000a_ _x000a_INT: 20264266691405 _x000a_ _x000a_SS: ETO-RD-GU 440/2026 _x000a_ _x000a_ESPECIFICAÇÕES DO TRANSFORMADOR _x000a_ _x000a_TRANSFORMADOR INSTALADO: 15KVA _x000a_ _x000a_TRANSFORMADOR RETIRADO: 15KVA _x000a_ _x000a_MEDIÇÕES _x000a_ _x000a_LOGO APÓS A TROCA  _x000a_ _x000a_VAN: 212.1 _x000a_ _x000a_VBN: 221.4 _x000a_ _x000a_VAB: 420 _x000a_ _x000a_OBS:SUBSTITUIÇÃO DE TRANSFORMADOR AUTORIZADA PELO DIONE. _x000a_ _x000a_OBS:FOI FEITO A SEGUNDA DESCIDA DO ATERRAMENTO  NO TRANSFORMADOR _x000a_ _x000a_"/>
  </r>
  <r>
    <x v="93"/>
    <s v="mai"/>
    <x v="0"/>
    <x v="1"/>
    <s v="EXPURGO"/>
    <x v="0"/>
    <s v="esteira 1.582"/>
    <s v="AUSENTE DA CRÍTICA"/>
    <n v="5365343122"/>
    <s v="DLP-MLPA01  000157/2026"/>
    <n v="112600511"/>
    <s v="2026-05-12 17:38"/>
    <s v="2026-05-13 18:00"/>
    <s v="FORMS SUBST DE TRANSFORMADOR"/>
    <s v="DOLP-RD-PA"/>
    <s v="PALMAS"/>
    <m/>
    <m/>
    <s v="1600171"/>
    <n v="299975"/>
    <s v="sim"/>
    <m/>
    <m/>
    <m/>
    <m/>
    <s v="SIM"/>
    <s v="leitura caso a caso"/>
    <s v="Fora do indicador: o ativo não existe na base de interrupção. Sem registro de interrupção não há evento a medir."/>
    <s v="segue ss de 01 trafo de 25 kvar e 01 para raio queimado da rede de 13.800kv e para raio queimado para ser subistituido pela equipe de manutencão  acesso livre equipe que atendeu 059op14 cel,  63992432595/985159679 chave de referencia, 5365343122"/>
    <s v="MEDIDO_ _x000a_ _x000a_EMERGENCIAL_ _x000a_ _x000a_ _x000a_segue ss de 01 trafo de 25 kvar e 01 para raio queimado da rede de 13.800kv e para raio queimado para ser subistituido pela equipe de manutencão  acesso livre equipe que atendeu 059op14 cel,  63992432595/985159679 chave de referencia, 5365343122 _x000a_ _x000a_ _x000a_DADOS ATENDIMENTO _x000a_ _x000a_N° DOCUMENTO SS: DOLP-RD-PA 000552/2026 _x000a_N° DOCUMENTO OS: DLP-MLPA01 000157/2026 _x000a_ _x000a_TIPO DA INTERVENÇÃO: MANUTENÇÃO _x000a_TIPO DO SERVIÇO: SUBSTITUIÇÃO DE TRANSFORMADOR E MELHORIA DE MALHA DE ATERRAMENTO _x000a_DATA PROGRAMADA DA ATIVIDADE: 13/05/2026 _x000a_HORARIO PREVISTO DA ATIVIDADE: 08:00 ÀS 18:00 _x000a_CIDADE: PA"/>
  </r>
  <r>
    <x v="94"/>
    <s v="mai"/>
    <x v="0"/>
    <x v="1"/>
    <s v="EXPURGO"/>
    <x v="0"/>
    <s v="esteira 1.582"/>
    <s v="AUSENTE DA CRÍTICA"/>
    <n v="5761649196"/>
    <s v="DLP-CTPA01  000043/2026"/>
    <n v="112600559"/>
    <s v="2026-05-24 00:11"/>
    <s v="2026-05-24 18:00"/>
    <s v="FORMS SUBST DE TRANSFORMADOR"/>
    <s v="DOLP-RD-PA"/>
    <s v="LAGOA DO TOCANTINS"/>
    <s v="QUEIMADO"/>
    <s v="NÃO IDENTIFICADO"/>
    <s v="0"/>
    <n v="0"/>
    <s v="não"/>
    <s v="TRANSFORMADOR"/>
    <s v="QUEIMADO POR CAUSA NAO IDENTIFICAD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QUEIMADO"/>
    <s v="MEDIDO_ _x000a_ _x000a_01. Baixado para consumo de materiais _x000a_ _x000a_TRAFO QUEIMADO 75kva  NA 34,5KV,  REFAZER PIRATICS DO TRANSFORMADO _x000a_ _x000a_OBS: CIRCUITO DO TRANSFROMADO QUEIMADO EST SENDO ENEGISADO POR OUTRO CIRCUITO, FOI FECHADO JUMP NO LOCAL. _x000a_ _x000a_ATENÇÃO: VERIFICAR CONDIÇOES DO BARRAMENTO É ATERRAMENTO  _x000a_ _x000a_ATIVO:190.02811475 _x000a_LOOCALIZAÇÃO: 351531 _x000a_ _x000a_ _x000a_ _x000a_EQUIPE: CTPA-05 _x000a_ _x000a_ENCARREGADO: JOSE AILTON _x000a_ _x000a_TEL: 63 99296-7029 _x000a_ _x000a_ _x000a_"/>
  </r>
  <r>
    <x v="95"/>
    <s v="mai"/>
    <x v="0"/>
    <x v="1"/>
    <s v="EXPURGO"/>
    <x v="0"/>
    <s v="esteira 1.582"/>
    <s v="AUSENTE DA CRÍTICA"/>
    <n v="5701350103"/>
    <s v="ENC-MLAG01  000121/2026"/>
    <n v="662600297"/>
    <s v="2026-05-08 12:16"/>
    <s v="2026-05-11 08:35"/>
    <s v="FORMS SUBST DE TRANSFORMADOR"/>
    <s v="ETO-RD-AG"/>
    <s v="SAO MIGUEL DO TOCANTINS"/>
    <s v="AVARIADO"/>
    <s v="BUCHA DANIFICADA"/>
    <s v="184716"/>
    <n v="828146"/>
    <s v="sim"/>
    <m/>
    <m/>
    <m/>
    <m/>
    <s v="SIM"/>
    <s v="leitura caso a caso"/>
    <s v="Fora do indicador: o ativo não existe na base de interrupção. Sem registro de interrupção não há evento a medir."/>
    <s v="Segue SS de transformador 5701350103 Queimado Potencia 10 KVA Tensão: 19.9 KVAcesso livre Fazenda Jangada. Assentamento Camarão II"/>
    <s v="OS PARA SUBSTITUICAO  DE TRAFO QUEIMADO _x000a_ _x000a_Segue SS de transformador 5701350103 Queimado  _x000a_Potencia 10 KVA  _x000a_Tensão: 19.9 KV _x000a_Acesso livre  _x000a_Fazenda Jangada. Assentamento Camarão II _x000a_ _x000a_TRAFO Nº  5701350103 _x000a_ _x000a_TRANSFORMAR RETIRADO _x000a_ _x000a_POTÊNCIA; 05KVA 34,5KV _x000a_DATA DE FAB; FEV/2011 _x000a_MARCA; VIJAI _x000a_Nº CITD; N/A _x000a_Nº SÉRIE; 184716 _x000a_POS. DO TAP; 3º _x000a_IMPEDÂNCIA; 3,14 _x000a_ _x000a_TRAFO INSTALADO  _x000a_ _x000a_ _x000a_POTÊNCIA; 15KVA 34,5KV _x000a_DATA DE FAB; FEV/2026 _x000a_MARCA; TRAEL _x000a_Nº CITD; 150423 _x000a_Nº SÉRIE; 828146 _x000a_POS. DO TAP; 3º _x000a_IMPEDÂNCIA; 3 _x000a_MEDIÇÃO; 3,37 / 3,36 / 3,34"/>
  </r>
  <r>
    <x v="96"/>
    <s v="mai"/>
    <x v="0"/>
    <x v="1"/>
    <s v="EXPURGO"/>
    <x v="0"/>
    <s v="esteira 1.582"/>
    <s v="AUSENTE DA CRÍTICA"/>
    <n v="5701508039"/>
    <s v="ENC-MLAG01  000127/2026"/>
    <n v="662600315"/>
    <s v="2026-05-15 13:32"/>
    <s v="2026-05-16 23:48"/>
    <s v="FORMS SUBST DE TRANSFORMADOR"/>
    <s v="ETO-RD-AG"/>
    <s v="ARAGUATINS"/>
    <s v="QUEIMADO"/>
    <s v="DESCARGA ATMOSFÉRICA"/>
    <s v="125111"/>
    <m/>
    <s v="não"/>
    <m/>
    <m/>
    <m/>
    <m/>
    <s v="SIM"/>
    <s v="leitura caso a caso"/>
    <s v="Fora do indicador: o ativo não existe na base de interrupção. Sem registro de interrupção não há evento a medir."/>
    <s v="trafo queimado 5701508039 - 15KVA - 34,5KV - para raio queimado - acesso caminhonete. IND CHACARA BOA ESPERANCA - cliente: JUNHO ALVES DE SOUSA - 63992753298REF PROX AO PEQUENO E AO VALDINAR RDR ARAGUATINS"/>
    <s v="OS PARA S6BSTITUICAO DE TRAFO QUEIMADO _x000a_ _x000a_trafo queimado 5701508039 - 15KVA - 34,5KV - para raio queimado - acesso caminhonete.  _x000a_IND CHACARA BOA ESPERANCA - cliente: JUNHO ALVES DE SOUSA - 63992753298 _x000a_REF PROX AO PEQUENO E AO VALDINAR  _x000a_RDR ARAGUATINS _x000a_ _x000a_ _x000a_TRAFO Nº 5701508039 _x000a_ _x000a_TRAFO INSTALADO _x000a_ _x000a_POTÊNCIA;  05KVA 34,5KV _x000a_DATA DE FAB;  AGOSTO/2008 _x000a_MARCA;  VIJAI _x000a_Nº CITD;  N/A _x000a_Nº SÉRIE;  125111 _x000a_POS. DO TAP;  5 _x000a_IMPEDÃNCIA;  2,99 _x000a_ _x000a_TRAFO RETIRADO _x000a_ _x000a_POTÊNCIA; 15KVA 34,5KV  _x000a_DATA DE FAB;  24/01/2026 _x000a_MARCA; ITAM _x000a_Nº CITD;  147933 _x000a_Nº SÉRIE;  C.299646 _x000a_POS. DO TAP;  3] _x000a_IMPEDÃNCIA;  2,84 _x000a_ME"/>
  </r>
  <r>
    <x v="97"/>
    <s v="mai"/>
    <x v="0"/>
    <x v="1"/>
    <s v="EXPURGO"/>
    <x v="1"/>
    <s v="esteira 1.582"/>
    <s v="AUSENTE DA CRÍTICA"/>
    <n v="5700724045"/>
    <s v="ENC-MLAG01  000135/2026"/>
    <n v="662600322"/>
    <s v="2026-05-22 15:23"/>
    <s v="2026-05-24 12:01"/>
    <s v="AVISO DE ANOMALIA"/>
    <s v="ETO-RD-AG"/>
    <s v="AUGUSTINOPOLIS"/>
    <s v="AVARIADO"/>
    <s v="VAZAMENTO DE ÓLEO"/>
    <s v="806969"/>
    <m/>
    <s v="não"/>
    <s v="NIVEL DE TENSAO"/>
    <s v="REGULARIZADO-PROBLEMA EM RAMAL DE SERVIÇO"/>
    <m/>
    <m/>
    <s v="não"/>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trafo 5700724045 com vazamento de oleo pot. 25 kva tensão 19,9kvpara-raio ruimacesso bom"/>
    <s v="segue trafo 5700724045 com vazamento de oleo pot. 25 kva tensão 19,9kv _x000a_para-raio ruim _x000a_acesso bom _x000a_ _x000a_ _x000a_TRAFO Nº 5700724045 _x000a_ _x000a_TRAFO RETIRADO _x000a_ _x000a_POTÊNCIA; 25KVA 34,5KV _x000a_DATA DE FAB;  NOV/2012 _x000a_MARCA; ITB _x000a_Nº CITD; P.033175 _x000a_Nº SÉRIE; 806969 _x000a_POS. DO TAP;4º _x000a_IMPEDÂNCIA; 2,78 _x000a_ _x000a_TRAFO INSTALADO  _x000a_ _x000a_POTÊNCIA; 25KVA 34,5KV _x000a_DATA DE FAB;  20/02/2026 _x000a_MARCA; ITAM _x000a_Nº CITD; 150991 _x000a_Nº SÉRIE; Z.303111 _x000a_POS. DO TAP; 3º _x000a_IMPEDÂNCIA; 2,86 _x000a_MEDIÇÃO; 06,21 / 06,20 / 06,13 _x000a_ _x000a_"/>
  </r>
  <r>
    <x v="98"/>
    <s v="mai"/>
    <x v="0"/>
    <x v="1"/>
    <s v="EXPURGO"/>
    <x v="1"/>
    <s v="esteira 1.582"/>
    <s v="AUSENTE DA CRÍTICA"/>
    <n v="5710240030"/>
    <s v="ENC-MLAR02  000095/2026"/>
    <n v="612600493"/>
    <s v="2026-05-08 19:27"/>
    <s v="2026-05-09 15:27"/>
    <s v="AVISO DE ANOMALIA"/>
    <s v="ETO-RD-AR"/>
    <s v="XAMBIOA"/>
    <s v="AVARIADO"/>
    <s v="VAZAMENTO DE ÓLEO"/>
    <s v="392515"/>
    <n v="1123921"/>
    <s v="sim"/>
    <m/>
    <m/>
    <m/>
    <m/>
    <s v="não"/>
    <s v="leitura caso a caso"/>
    <s v="Fora do indicador: o ativo não existe na base de interrupção. Sem registro de interrupção não há evento a medir."/>
    <s v="Trafo 5710240030 Vazamento de oleoPotencia: 10 KVATensão: 34,5 KVPara raio: Queimado Acesso: livreEquipe: 030op01 (63)98468-3634"/>
    <s v="ETO-RD-AR 818/2026 _x000a_TRAFO 5710240030 _x000a_TRAFO RETIRADO _x000a_POTÊNCIA : 10 KVA _x000a_TENSÃO :_x0009_ 34.5 KV _x000a_Nº ENERGISA (CITD) : 15936 _x000a_Nº DE SÉRIE : 392515 _x000a_MARCA : ITB _x000a_DATA FABRICAÇÃO : 03/2006 _x000a_IMPEDANCIA : 2,86 _x000a_POS. TAP : 03 _x000a_ _x000a_TRAFO INSTALADO _x000a_POTÊNCIA : 25 KVA _x000a_TENSÃO :_x0009_ 34.5 KV _x000a_Nº ENERGISA (CITD) : 141503 _x000a_Nº DE SÉRIE : 1123921 _x000a_MARCA : TRAFOTEC _x000a_DATA FABRICAÇÃO : 01/2019 _x000a_IMPEDANCIA : 3,05 _x000a_POS. TAP : 05 _x000a_"/>
  </r>
  <r>
    <x v="99"/>
    <s v="mai"/>
    <x v="0"/>
    <x v="1"/>
    <s v="EXPURGO"/>
    <x v="0"/>
    <s v="esteira 1.582"/>
    <s v="AUSENTE DA CRÍTICA"/>
    <n v="5710241016"/>
    <s v="ENC-MLAR01  000202/2026"/>
    <n v="612600532"/>
    <s v="2026-05-17 17:55"/>
    <s v="2026-05-18 16:15"/>
    <s v="FORMS SUBST DE TRANSFORMADOR"/>
    <s v="ETO-RD-AR"/>
    <s v="WANDERLANDIA"/>
    <s v="QUEIMADO"/>
    <s v="DESCARGA ATMOSFÉRICA"/>
    <s v="66567"/>
    <n v="469632"/>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10241016 Queimado Potencia: 10 KVATensão: 34,5 KVPara raio: Queimado Acesso: livreEquipe: 004op26 (63)99214-9597"/>
    <s v="ETO-RD-AR 872/2026 _x000a_TRAFO 5710241016 _x000a_TRAFO RETIRADO _x000a_POTÊNCIA : 10 KVA _x000a_TENSÃO :_x0009_ 34.5 KV _x000a_Nº ENERGISA (CITD) : ILEGIVEL _x000a_Nº DE SÉRIE : 66567 _x000a_MARCA : TRAEL _x000a_DATA FABRICAÇÃO : 10/2005 _x000a_IMPEDANCIA : 3,01 _x000a_POS. TAP : 03 _x000a_ _x000a_TRAFO INSTALADO _x000a_POTÊNCIA : 15 KVA _x000a_TENSÃO :_x0009_ 34.5 KV _x000a_Nº ENERGISA (CITD) : 149646 _x000a_Nº DE SÉRIE : 469632 _x000a_MARCA : TRAEL _x000a_DATA FABRICAÇÃO : 05/2018 _x000a_IMPEDANCIA : 2,89 _x000a_POS. TAP : 05 _x000a_"/>
  </r>
  <r>
    <x v="100"/>
    <s v="jun"/>
    <x v="0"/>
    <x v="1"/>
    <s v="EXPURGO"/>
    <x v="0"/>
    <s v="esteira 1.582"/>
    <s v="AUSENTE DA CRÍTICA"/>
    <n v="5711684122"/>
    <s v="DLP-MLPA03  000083/2026"/>
    <n v="112600598"/>
    <s v="2026-06-01 12:34"/>
    <s v="2026-05-22 18:00"/>
    <s v="FORMS SUBST DE TRANSFORMADOR"/>
    <s v="DOLP-RD-PA"/>
    <s v="PALMAS"/>
    <s v="QUEIMADO"/>
    <s v="DESCARGA ATMOSFÉRICA"/>
    <s v="361897"/>
    <n v="303259"/>
    <s v="sim"/>
    <m/>
    <m/>
    <m/>
    <m/>
    <s v="SIM"/>
    <s v="leitura caso a caso"/>
    <s v="Fora do indicador: o ativo não existe na base de interrupção. Sem registro de interrupção não há evento a medir."/>
    <s v="TRAFO 5711684122 QUEIMADOPOTÊNCIA: 15 KVATENSÃO: 19,9 KVACESSO: LIVRE"/>
    <s v="MEDIDO_ _x000a_ _x000a_EMERGENCIAL_ _x000a_ _x000a_ _x000a_TRAFO 5711684122 QUEIMADO - POTÊNCIA: 15 KVA - TENSÃO: 19,9 KV - ACESSO: LIVRE _x000a_ _x000a_ _x000a_DADOS ATENDIMENTO _x000a_ _x000a_N° DOCUMENTO SS: DOLP-RD-PA 000621/2026 _x000a_N° DOCUMENTO OS: DLP-MLPA03 000083/2026 _x000a_ _x000a_TIPO DA INTERVENÇÃO: MANUTENÇÃO _x000a_TIPO DO SERVIÇO: SUBSTITUIÇÃO DE TRANSFORMADOR E MELHORIA DE MALHA DE ATERRAMENTO _x000a_DATA PROGRAMADA DA ATIVIDADE: 02/06/2026 _x000a_HORARIO PREVISTO DA ATIVIDADE: 08:00 ÀS 18:00 _x000a_CIDADE: PALMAS - CLASSE DE TENSÃO: 19,9KV _x000a_ALIMENTADOR: LD02059122 - TRANSFORMADOR: 5711684122 _x000a_ _x000a_EQUIPE: DOLP-MLPA04 _x000a_CONTATO DA EQUIPE: 63 9295-4214 _x000a_COMPOSIÇÃO DA EQUIPE: _x000a_1 "/>
  </r>
  <r>
    <x v="101"/>
    <s v="jun"/>
    <x v="0"/>
    <x v="1"/>
    <s v="EXPURGO"/>
    <x v="0"/>
    <s v="esteira 1.582"/>
    <s v="AUSENTE DA CRÍTICA"/>
    <n v="5701119075"/>
    <s v="ENC-LMPS03  000087/2026"/>
    <n v="212600505"/>
    <s v="2026-06-01 16:44"/>
    <s v="2026-06-02 17:57"/>
    <s v="FORMS SUBST DE TRANSFORMADOR"/>
    <s v="ENC-RD-PS"/>
    <s v="DOIS IRMAOS DO TOCANTINS"/>
    <s v="AVARIADO"/>
    <s v="VAZAMENTO DE ÓLEO"/>
    <s v="379996"/>
    <m/>
    <s v="não"/>
    <m/>
    <m/>
    <m/>
    <m/>
    <s v="SIM"/>
    <s v="leitura caso a caso"/>
    <s v="Fora do indicador: o ativo não existe na base de interrupção. Sem registro de interrupção não há evento a medir."/>
    <s v="5701119075 15KVA 34,5KV ACESSO BOM E PARA-RAIOS 075OP02"/>
    <s v="SS ENC-RD-PS 546/2026 _x000a_TRAFO: 5701119075  _x000a_ _x000a_ _x000a_ _x000a_ _x000a_ _x000a_TRAFO RETIRADO _x000a_POTÊNCIA : 15KVA _x000a_TENSÃO :_x0009_ 34.5KV _x000a_Nº ENERGISA (CITD) : 035368 _x000a_Nº DE SÉRIE : 379996 _x000a_MARCA : TRAEL _x000a_DATA FABRICAÇÃO : 04/2016 _x000a_IMPEDANCIA : 2.87 _x000a_POS. TAP : 03 _x000a_ _x000a_TRAFO INSTALADO' _x000a_POTÊNCIA : 15KVA _x000a_TENSÃO :_x0009_ 34.5KV _x000a_Nº ENERGISA (CITD) : 151648 _x000a_Nº DE SÉRIE : C 308217 _x000a_MARCA : ITAM _x000a_DATA FABRICAÇÃO : 4/2026 _x000a_IMPEDANCIA : 3.23 _x000a_POS. TAP : 03 _x000a_"/>
  </r>
  <r>
    <x v="102"/>
    <s v="jun"/>
    <x v="0"/>
    <x v="1"/>
    <s v="EXPURGO"/>
    <x v="0"/>
    <s v="esteira 1.582"/>
    <s v="AUSENTE DA CRÍTICA"/>
    <n v="5700417110"/>
    <s v="ENC-LMPS03  000095/2026"/>
    <n v="212600540"/>
    <s v="2026-06-21 13:30"/>
    <s v="2026-06-22 19:24"/>
    <s v="FORMS SUBST DE TRANSFORMADOR"/>
    <s v="ENC-RD-PS"/>
    <s v="SANTA RITA DO TOCANTINS"/>
    <s v="QUEIMADO"/>
    <s v="NÃO IDENTIFICADO"/>
    <s v="462535"/>
    <n v="822924"/>
    <s v="sim"/>
    <m/>
    <m/>
    <m/>
    <m/>
    <s v="SIM"/>
    <s v="leitura caso a caso"/>
    <s v="Fora do indicador: o código não aparece na Crítica em papel nenhum — nem com defeito, nem interrompido, nem manobrado — nos sete meses do acervo; nem o teste do vizinho achou explicação."/>
    <s v="TRAFO 5700417110 DE 5 KVA NA REDE 19.9 KV QUEIMADO ACESSO BOM TROCAR E O POSTE DO TRAFO ID: 47152336 POIS O MESMO NÃO SUPORTA O TRAFO DE 15 E FINO E O POSTE ANTES DA CHAVE TRAFO 0300417110 NO ID: 68938875 PARA FAZER O SERVIÇO TEM ABRIR CHAVE LAMINA PROXIMO AO TRAFO 5700399073."/>
    <s v="SS ENC-RD-PS 594/2026 _x000a_TRAFO 5700417110  _x000a_ _x000a_ _x000a_ _x000a_ _x000a_TRAFO RETIRADO _x000a_POTÊNCIA : 5KVA _x000a_TENSÃO :_x0009_ 34.5KV _x000a_Nº ENERGISA (CITD) : 21593 _x000a_Nº DE SÉRIE : 462535 _x000a_MARCA : ITB _x000a_DATA FABRICAÇÃO : 06/2007 _x000a_IMPEDANCIA : 2.43 _x000a_POS. TAP : 02 _x000a_ _x000a_TRAFO INSTALADO' _x000a_POTÊNCIA : 15KVA _x000a_TENSÃO :_x0009_ 34.5KV _x000a_Nº ENERGISA (CITD) : 149489 _x000a_Nº DE SÉRIE : 822924 _x000a_MARCA : TRAEL _x000a_DATA FABRICAÇÃO : 03/2026 _x000a_IMPEDANCIA : 3.0 _x000a_POS. TAP : 03 _x000a_"/>
  </r>
  <r>
    <x v="103"/>
    <s v="jun"/>
    <x v="0"/>
    <x v="1"/>
    <s v="EXPURGO"/>
    <x v="1"/>
    <s v="esteira 1.582"/>
    <s v="AUSENTE DA CRÍTICA"/>
    <n v="5700001058"/>
    <s v="ENC-MLAR05  000334/2026"/>
    <m/>
    <s v="2026-06-16 18:57"/>
    <s v="2026-06-17 04:50"/>
    <s v="FORMS SUBST DE TRANSFORMADOR"/>
    <s v="ETO-RD-AR"/>
    <s v="SANTA FE DO ARAGUAIA"/>
    <s v="AVARIADO"/>
    <s v="VAZAMENTO DE ÓLEO"/>
    <s v="8711055"/>
    <n v="1587020"/>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00001058 75KVA 34.5KV COM VAZAMENTO DE OLEO OCASIONANDO INCENDIO NA BUCHA SECUNDARIARUA JOSE LINO DA SILVA, 0 - QD07 LT 04 PROX CARTORIO DE IMOVEIS RDU DE SANTA FÉ."/>
    <s v="ETO-RD-AR 987/2026 _x000a_SERVIÇO LANÇADO NA O.S ETO-RD-AR 2646/2026."/>
  </r>
  <r>
    <x v="104"/>
    <s v="jun"/>
    <x v="0"/>
    <x v="1"/>
    <s v="EXPURGO"/>
    <x v="1"/>
    <s v="esteira 1.582"/>
    <s v="AUSENTE DA CRÍTICA"/>
    <n v="5730596155"/>
    <s v="ENC-MLGR01  000148/2026"/>
    <n v="712600392"/>
    <s v="2026-06-04 17:41"/>
    <s v="2026-06-05 13:58"/>
    <s v="FORMS SUBST DE TRANSFORMADOR"/>
    <s v="ETO-RD-GR"/>
    <s v="PALMEIRANTE"/>
    <s v="SOBRECARGA PREVENTIVA"/>
    <s v="VAZAMENTO DE ÓLEO"/>
    <s v="442992"/>
    <m/>
    <s v="não"/>
    <m/>
    <m/>
    <m/>
    <m/>
    <s v="não"/>
    <s v="leitura caso a caso"/>
    <s v="Fora do indicador: o ativo não existe na base de interrupção. Sem registro de interrupção não há evento a medir."/>
    <s v="Boa tarde,Favor enviar manutenção para substituir trafo 5730596155 o mesmo está com muito vazamento de oléo. Se possivel colocar trafo de maior potencia."/>
    <s v="TROCA DE TRAFO AVARIADO 5730596155 ETO-RD-GR 598/2026 ZONA RURAL - PALMEIRANTE 0155 _x000a_ _x000a_TRAFO RETIRADO _x000a_POTÊNCIA : 15KVA _x000a_TENSÃO : 19.9KV_x0009_ _x000a_Nº ENERGISA (CITD) : CITD06108847 _x000a_Nº DE SÉRIE : 442992 _x000a_MARCA : TRAEL _x000a_DATA FABRICAÇÃO : 09/2017 _x000a_IMPEDANCIA : 3.03 _x000a_POS. TAP : 01 _x000a_ _x000a_TRAFO INSTALADO _x000a_POTÊNCIA : 15KVA _x000a_TENSÃO : 19.9KV_x0009_ _x000a_Nº ENERGISA (CITD) : 151717 _x000a_Nº DE SÉRIE : C 308286 _x000a_MARCA : ITAM _x000a_DATA FABRICAÇÃO : 04/2026 _x000a_IMPEDANCIA : 3.24 _x000a_POS. TAP : 03 _x000a_ _x000a_MEDIÇÃO 1: 20.45 _x000a_MEDIÇÃO 2: 18.60 _x000a_MEDIÇÃO 3: 14.01 _x000a_ _x000a_COORDENADA _x000a_X: 792116 _x000a_Y: 9110043 _x000a_"/>
  </r>
  <r>
    <x v="105"/>
    <s v="jun"/>
    <x v="0"/>
    <x v="1"/>
    <s v="EXPURGO"/>
    <x v="0"/>
    <s v="esteira 1.582"/>
    <s v="AUSENTE DA CRÍTICA"/>
    <n v="5700782153"/>
    <s v="ENC-MLGR01  000151/2026"/>
    <n v="712600426"/>
    <s v="2026-06-19 15:57"/>
    <s v="2026-06-20 14:13"/>
    <s v="FORMS SUBST DE TRANSFORMADOR"/>
    <s v="ETO-RD-GR"/>
    <s v="BERNARDO SAYAO"/>
    <s v="QUEIMADO"/>
    <s v="NÃO IDENTIFICADO"/>
    <s v="846016"/>
    <n v="830326"/>
    <s v="sim"/>
    <s v="CONDUTOR DE AT"/>
    <s v="PARTIDO NA FASE"/>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NSFORMADOR DE 10KVA NA 34,5KV, QUEIMADO, ACESSO CAMINHONETE."/>
    <s v="TROCA DE TRAFO QUEIMADO 5700782153 ETO-RD-GR 632/2026 ZONA RURAL - BERNARDO SAYÃO 0153 _x000a_ _x000a_TRAFO RETIRADO _x000a_POTÊNCIA : 10KVA _x000a_TENSÃO : 19.9KV_x0009_ _x000a_Nº ENERGISA (CITD) : CITD06012557 _x000a_Nº DE SÉRIE : 896016 _x000a_MARCA : ITB _x000a_DATA FABRICAÇÃO : 05/2014 _x000a_IMPEDANCIA : 3.00 _x000a_POS. TAP : 01 _x000a_ _x000a_TRAFO INSTALADO _x000a_POTÊNCIA : 15KVA _x000a_TENSÃO : 19.9KV_x0009_ _x000a_Nº ENERGISA (CITD) : 151971 _x000a_Nº DE SÉRIE : 830326 _x000a_MARCA : TRAEL _x000a_DATA FABRICAÇÃO : 04/2026 _x000a_IMPEDANCIA : 3.0 _x000a_POS. TAP : 03 _x000a_ _x000a_MEDIÇÃO 1: 26.94 _x000a_MEDIÇÃO 2: 22.75 _x000a_MEDIÇÃO 3: 18.57 _x000a_ _x000a_COORDENADA _x000a_X: 701966 _x000a_Y: 9118821 _x000a_"/>
  </r>
  <r>
    <x v="106"/>
    <s v="ago"/>
    <x v="0"/>
    <x v="1"/>
    <s v="EXPURGO"/>
    <x v="1"/>
    <s v="leitura do texto (jan–ago)"/>
    <s v="AUSENTE DA CRÍTICA"/>
    <n v="5701225122"/>
    <s v="DLP-MPPA01  000272/2026"/>
    <m/>
    <s v="2026-08-07 09:01"/>
    <s v="2026-08-10 18:00"/>
    <s v="FORMS SUBST DE TRANSFORMADOR"/>
    <s v="DOLP-RD-PA"/>
    <s v="PALMAS"/>
    <s v="AVARIADO"/>
    <s v="VAZAMENTO DE ÓLEO"/>
    <s v="00"/>
    <n v="0"/>
    <s v="não"/>
    <m/>
    <m/>
    <m/>
    <m/>
    <s v="SIM"/>
    <s v="Crítica + TMAE de agosto (novo)"/>
    <s v="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
    <s v="Segue SS aberta para substituição de Trafo com vazamento de oléo Trafo 5701225122na 103 norte.trafo 75kva. tensão 13800 / 380 Vpara Raios queimados.acesso livre.telefone equipe 63 98117 9742"/>
    <s v="MEDIDO_ _x000a_ _x000a_ _x000a_ _x000a_01. Baixado para consumo de material  _x000a_ _x000a_Segue SS aberta para substituição de Trafo com vazamento de oléo Trafo 5701225122 _x000a_na 103 norte. _x000a_trafo 75kva. tensão 13800 / 380 V _x000a_para Raios queimados. _x000a_acesso livre. _x000a_telefone equipe 63 98117 9742 _x000a_ _x000a_DADOS DO ATENDIMENTO: _x000a_ _x000a_EQUIPE: 833012 - DLP-MPPA02 _x000a_ENCARREGADO: JULIO IGNACIO _x000a_DATA: 10/08/2026"/>
  </r>
  <r>
    <x v="107"/>
    <s v="ago"/>
    <x v="0"/>
    <x v="1"/>
    <s v="EXPURGO"/>
    <x v="0"/>
    <s v="leitura do texto (jan–ago)"/>
    <s v="AUSENTE DA CRÍTICA"/>
    <n v="5750729059"/>
    <s v="DLP-MPPA01  000293/2026"/>
    <m/>
    <s v="2026-08-22 13:11"/>
    <s v="2026-08-22 18:00"/>
    <s v="FORMS SUBST DE TRANSFORMADOR"/>
    <s v="DOLP-RD-PA"/>
    <s v="PALMAS"/>
    <s v="QUEIMADO"/>
    <s v="NÃO IDENTIFICADO"/>
    <s v="00"/>
    <n v="0"/>
    <s v="não"/>
    <m/>
    <m/>
    <m/>
    <m/>
    <s v="SIM"/>
    <s v="Crítica + TMAE de agosto (novo)"/>
    <s v="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
    <s v="segue ss de 01 trafo de 112,500kva da rede de 13.800kv queimado para ser subistituido pela equipe de manutencão acesso livre clientes penaloizados 83 equipe que atendeu 100op04 cel, 63999345829/992270907 favor agilizar o atendimento devido a quantidade de clientes penalizados"/>
    <s v="MEDIDO_ _x000a_ _x000a_ _x000a_ _x000a_1. Baixado para consumo de material _x000a_ _x000a_segue ss de 01 trafo de 112,500kva da rede de 13.800kv queimado para ser subistituido pela equipe de manutencão acesso livre clientes penaloizados 83 equipe que atendeu 100op04 cel, 63999345829/992270907 favor agilizar o atendimento devido a quantidade de clientes penalizados _x000a_ _x000a_DADOS DO ATENDIMENTO:  _x000a_EQUIPE: 833006 - DLP-MPPA01 _x000a_ENCARREGADO: IBANEZ RODRIGUES _x000a_DATA: 22/08/2026 _x000a_"/>
  </r>
  <r>
    <x v="108"/>
    <s v="ago"/>
    <x v="0"/>
    <x v="1"/>
    <s v="EXPURGO"/>
    <x v="1"/>
    <s v="leitura do texto (jan–ago)"/>
    <s v="AUSENTE DA CRÍTICA"/>
    <n v="5711775122"/>
    <s v="DLP-MLPA01  000189/2026"/>
    <m/>
    <s v="2026-08-31 20:51"/>
    <s v="2026-09-01 18:00"/>
    <s v="FORMS SUBST DE TRANSFORMADOR"/>
    <s v="DOLP-RD-PA"/>
    <s v="PALMAS"/>
    <s v="AVARIADO"/>
    <s v="VAZAMENTO DE ÓLEO"/>
    <s v="00"/>
    <n v="0"/>
    <s v="não"/>
    <m/>
    <m/>
    <m/>
    <m/>
    <s v="SIM"/>
    <s v="Crítica + TMAE de agosto (novo)"/>
    <s v="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
    <s v="Transformador 5711775122 muito vazamento de oleo, potencia 25kva, tensão 19.9, acesso livre a caminhao, possivel causa descarga atmosferica."/>
    <s v="MEDIDO_ _x000a_ _x000a_ _x000a_01. Baixado para consumo de material  _x000a_ _x000a_Transformador 5711775122 muito vazamento de oleo, potencia 25kva, tensão 19.9, acesso livre a caminhao, possivel causa descarga atmosferica. _x000a_ _x000a_ _x000a_DADOS DO ATENDIMENTO: _x000a_ _x000a_EQUIPE: 933004 - DLP-MLAP01 _x000a_LIDER: JOSE RAIMUNDO _x000a_DATA: 01/09/2026"/>
  </r>
  <r>
    <x v="109"/>
    <s v="ago"/>
    <x v="0"/>
    <x v="1"/>
    <s v="EXPURGO"/>
    <x v="1"/>
    <s v="leitura do texto (jan–ago)"/>
    <s v="AUSENTE DA CRÍTICA"/>
    <n v="5710176039"/>
    <s v="ETO-RD-AG  000766/2026"/>
    <n v="662600534"/>
    <s v="2026-08-20 18:48"/>
    <s v="2026-08-22 18:00"/>
    <s v="AVISO DE ANOMALIA"/>
    <s v="ETO-RD-AG"/>
    <s v="ARAGUATINS"/>
    <s v="SOBRECARGA PREVENTIVA"/>
    <s v="VAZAMENTO DE ÓLEO"/>
    <m/>
    <m/>
    <s v="não"/>
    <m/>
    <m/>
    <m/>
    <m/>
    <s v="não"/>
    <s v="Crítica + TMAE de agosto (novo)"/>
    <s v="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
    <s v="Enviar equipe de manutenção para substituir TRAFO COM VAZAMENTO DE OLEO - TRAFO [5710176039] TRAFO DE 15KVA - 19.9KV"/>
    <s v="PLANO DE MEDIDA - Realizar substituição do trafo 5710176039 de 15 kVA para 25 kVA. _x000a_ _x000a_Enviar equipe de manutenção para substituir TRAFO COM VAZAMENTO DE OLEO - TRAFO [5710176039]  _x000a_TRAFO DE 15KVA - 19.9KV"/>
  </r>
  <r>
    <x v="110"/>
    <s v="ago"/>
    <x v="0"/>
    <x v="1"/>
    <s v="EXPURGO"/>
    <x v="0"/>
    <s v="leitura do texto (jan–ago)"/>
    <s v="AUSENTE DA CRÍTICA"/>
    <n v="5720186077"/>
    <s v="ENC-MPAR02  000052/2026"/>
    <n v="612600770"/>
    <s v="2026-08-08 12:30"/>
    <s v="2026-08-09 01:52"/>
    <s v="FORMS SUBST DE TRANSFORMADOR"/>
    <s v="ETO-RD-AR"/>
    <s v="GOIATINS"/>
    <s v="QUEIMADO"/>
    <s v="NÃO IDENTIFICADO"/>
    <s v="978259"/>
    <m/>
    <s v="não"/>
    <m/>
    <m/>
    <m/>
    <m/>
    <s v="SIM"/>
    <s v="Crítica + TMAE de agosto (novo)"/>
    <s v="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
    <s v="TRANSFORMADOR QUEIMADO, PARA RAIO QUEIMADO.ACESSO A CAMINHONETE"/>
    <s v="ETO-RD-AR 1225/2026 _x000a_TR: 5720186077 _x000a_ _x000a_ _x000a_TRAFO RETIRADO _x000a_POTÊNCIA : 15KVA _x000a_TENSÃO :_x0009_ 34,5KV _x000a_Nº ENERGISA (CITD) : 0618142  _x000a_Nº DE SÉRIE : 978259 _x000a_MARCA : ITB _x000a_DATA FABRICAÇÃO : 11/2015  _x000a_IMPEDANCIA : 3,10 _x000a_POS. TAP : 05 _x000a_ _x000a_TRAFO INSTALADO _x000a_POTÊNCIA : 15KVA  _x000a_TENSÃO :_x0009_ 34,5KV _x000a_Nº ENERGISA (CITD) : 150865 _x000a_Nº DE SÉRIE : C303245 _x000a_MARCA : ITAM _x000a_DATA FABRICAÇÃO : 13/02/2026  _x000a_IMPEDANCIA : 3,17 _x000a_POS. TAP : 03 "/>
  </r>
  <r>
    <x v="111"/>
    <s v="ago"/>
    <x v="0"/>
    <x v="1"/>
    <s v="EXPURGO"/>
    <x v="1"/>
    <s v="leitura do texto (jan–ago)"/>
    <s v="AUSENTE DA CRÍTICA"/>
    <n v="5300693019"/>
    <s v="ENC-MPAR01  000071/2026"/>
    <n v="612600823"/>
    <s v="2026-08-19 20:29"/>
    <s v="2026-08-20 15:10"/>
    <s v="FORMS SUBST DE TRANSFORMADOR"/>
    <s v="ETO-RD-AR"/>
    <s v="FILADELFIA"/>
    <s v="AVARIADO"/>
    <s v="VAZAMENTO DE ÓLEO"/>
    <s v="C 87207"/>
    <m/>
    <s v="não"/>
    <m/>
    <m/>
    <m/>
    <m/>
    <s v="SIM"/>
    <s v="Crítica + TMAE de agosto (novo)"/>
    <s v="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
    <s v="Trafo: 5300693019 vazamento de oleoPotencia: 15 KVATensão: 34,5KVPara raio: Queimado Acesso: LivreEquipe: 019op01 (63)(63)99236-0191"/>
    <s v="ETO RD AR 1274/2026 _x000a_TR: 5700693019 _x000a_ _x000a_TRAFO RETIRADO _x000a_POTÊNCIA : 15KVA  _x000a_TENSÃO :_x0009_ 34,5KV  _x000a_Nº ENERGISA (CITD) : 150982 _x000a_Nº DE SÉRIE : C303362 _x000a_MARCA : ITAM  _x000a_DATA FABRICAÇÃO : 14/02/2026 _x000a_IMPEDANCIA : 2,98 _x000a_POS. TAP : 03 _x000a_ _x000a_TRAFO INSTALADO _x000a_POTÊNCIA : 25KVA  _x000a_TENSÃO :_x0009_ 34,5KV  _x000a_Nº ENERGISA (CITD) : 130638 _x000a_Nº DE SÉRIE : 606679 _x000a_MARCA : TRAEL _x000a_DATA FABRICAÇÃO : 2022 _x000a_IMPEDANCIA : 3,01 _x000a_POS. TAP : 03 _x000a_90070 _x000a_ _x000a_NECESSARIO FAZER A SUBST. DO TRAFO NOVAMENTE  _x000a_"/>
  </r>
  <r>
    <x v="112"/>
    <s v="jan"/>
    <x v="1"/>
    <x v="2"/>
    <s v="EXPURGO"/>
    <x v="2"/>
    <s v="esteira 1.582"/>
    <s v="ABALROAMENTO"/>
    <n v="5700247131"/>
    <s v="ENC-MLAG01  000007/2026"/>
    <n v="662600029"/>
    <s v="2026-01-08 15:02"/>
    <s v="2026-01-08 17:57"/>
    <s v="AVISO DE ANOMALIA"/>
    <s v="ETO-RD-AG"/>
    <s v="PRAIA NORTE"/>
    <s v="AVARIADO"/>
    <s v="BUCHA DANIFICADA"/>
    <s v="173770"/>
    <n v="181387"/>
    <s v="sim"/>
    <m/>
    <m/>
    <m/>
    <m/>
    <s v="não"/>
    <s v="leitura caso a caso"/>
    <s v="Fora do indicador: o texto atribui o dano a colisão de veículo."/>
    <s v="TR 5700247131 15 KVACOM VAZAMENTO DEVIDO ABALROAMENTO DO POSTE 19,9KV"/>
    <s v="OS PARA SUBSTITUICAO DE TRAFO AVARIADO E COM VAZAMENTO DE OLEO _x000a_ _x000a_ _x000a_TRAFO RETIRADO  _x000a_ _x000a_POTÊNCIA;  05KVA 34,5KV _x000a_DATA DE FAB; AGOSTO/2010  _x000a_MARCA; MACZ _x000a_Nº CITD; CI5706000781 _x000a_Nº SÉRIE; 173770 _x000a_IMPEDÂNCIA; 3,12 _x000a_ _x000a_TRAFO INSTALADO _x000a_ _x000a_POTÊNCIA;  15KVA 34,5KV _x000a_DATA DE FEAB; 2002 - REF; 12/2025 _x000a_MARCA; CPFL _x000a_Nº CITD; 148883 _x000a_Nº SÉRIE; 181387 _x000a_IMPEDÂNCIA; 3,15 _x000a_MEDIÇÃO; 15,45 - 15,44 - 15,43 _x000a_ _x000a_"/>
  </r>
  <r>
    <x v="113"/>
    <s v="fev"/>
    <x v="1"/>
    <x v="2"/>
    <s v="EXPURGO"/>
    <x v="0"/>
    <s v="esteira 1.582"/>
    <s v="ABALROAMENTO"/>
    <n v="5761911122"/>
    <s v="DLP-CTPA00  000049/2026"/>
    <n v="112600242"/>
    <s v="2026-02-17 14:44"/>
    <s v="2026-02-17 19:40"/>
    <s v="FORMS SUBST DE TRANSFORMADOR"/>
    <s v="DOLP-RD-PA"/>
    <s v="PALMAS"/>
    <s v="QUEIMADO"/>
    <s v="ABALROADO"/>
    <s v="200345"/>
    <n v="381663"/>
    <s v="sim"/>
    <s v="CONDUTOR DE BT"/>
    <s v="ENTRELACADO"/>
    <s v="CONDUTOR DE BT"/>
    <s v="ENTRELACADO"/>
    <s v="não"/>
    <s v="leitura caso a caso"/>
    <s v="Fora do indicador: o texto atribui o dano a colisão de veículo."/>
    <s v="SEGUE SS DE TRAFO 5761911122 QUEIMADO NA RDU DE PALMAS. DEVIDO CAMINHÃO"/>
    <s v="MEDIDO_ _x000a_ _x000a_EMERGENCIAL_ _x000a_ _x000a_SEGUE SS DE TRAFO 5761911122 QUEIMADO NA RDU DE PALMAS. DEVIDO CAMINHÃO _x000a_ _x000a_DADOS DO ATENDIMENTO: _x000a_ _x000a_EQUIPE: 833003 _x000a_ENCARREGADO: JOSUE ROSA _x000a_DATA: 17/02/2026 _x000a_SS: DOLP-RD-PA 264/2026"/>
  </r>
  <r>
    <x v="114"/>
    <s v="fev"/>
    <x v="1"/>
    <x v="2"/>
    <s v="EXPURGO"/>
    <x v="2"/>
    <s v="esteira 1.582"/>
    <s v="ABALROAMENTO"/>
    <n v="5700777016"/>
    <s v="ENC-MLAR05  000093/2026"/>
    <n v="612600142"/>
    <s v="2026-02-02 13:17"/>
    <s v="2026-02-04 18:00"/>
    <s v="FORMS SUBST DE TRANSFORMADOR"/>
    <s v="ETO-RD-AR"/>
    <s v="WANDERLANDIA"/>
    <s v="AVARIADO"/>
    <s v="ABALROADO"/>
    <s v="1408290"/>
    <n v="820159"/>
    <s v="sim"/>
    <m/>
    <m/>
    <m/>
    <m/>
    <s v="não"/>
    <s v="leitura caso a caso"/>
    <s v="Fora do indicador: a SS está gravada no sistema como abalroamento."/>
    <s v="TROCA DO POSTE ID 63250681E DO TRAFO 570077701611/200 TROCA DE CABO DO VÃO DA CH 0300777016 ATÉ O TRAFO 5700777016. APROXIMADAMENTE VÃO DE 140MCABO: AA / 4TRAFO DE 15KVA , 34,5KVESTRUTURA U3/S3/S31 POSTE INCLINADO"/>
    <s v="ETO-RD-AR 209/2026 _x000a_TR: 5700777016 _x000a_ _x000a_TRAFO RETIRADO _x000a_POTÊNCIA : 15KVA _x000a_TENSÃO :_x0009_ 34,5KV _x000a_Nº ENERGISA (CITD) : 130466 _x000a_Nº DE SÉRIE : 1408290 _x000a_MARCA : ITB _x000a_DATA FABRICAÇÃO : 01/2022 _x000a_IMPEDANCIA : 3,06 _x000a_POS. TAP : 03 _x000a_ _x000a_TRAFO INSTALADO _x000a_POTÊNCIA : 15KVA _x000a_TENSÃO :_x0009_ 34,5KV _x000a_Nº ENERGISA (CITD) : 149173 _x000a_Nº DE SÉRIE : 820159 _x000a_MARCA : TRAEL _x000a_DATA FABRICAÇÃO : 11/2025 _x000a_IMPEDANCIA : 3,0 _x000a_POS. TAP : 03 _x000a_"/>
  </r>
  <r>
    <x v="115"/>
    <s v="jun"/>
    <x v="1"/>
    <x v="2"/>
    <s v="EXPURGO"/>
    <x v="2"/>
    <s v="esteira 1.582"/>
    <s v="ABALROAMENTO"/>
    <n v="5721874257"/>
    <s v="DG-MPDG01  000107/2026"/>
    <n v="312600347"/>
    <s v="2026-06-26 13:49"/>
    <s v="2026-06-27 21:30"/>
    <s v="FORMS SUBST DE TRANSFORMADOR"/>
    <s v="DG-RD-PO"/>
    <s v="SAO FELIX DO TOCANTINS"/>
    <m/>
    <s v="ABALROADO"/>
    <s v="60181"/>
    <n v="150837"/>
    <s v="sim"/>
    <s v="POSTE DE BT"/>
    <s v="ABALROADO"/>
    <s v="POSTE DE BT"/>
    <s v="ABALROADO"/>
    <s v="não"/>
    <s v="leitura caso a caso"/>
    <s v="Fora do indicador: a SS está gravada no sistema como abalroamento."/>
    <s v="Trafo 15 Kva ,5721874257 esta com buxa secundaria danificada 100 metro de cabo 25mm bifasico, 02 poste 10/150 quebrado"/>
    <s v="medido_ _x000a_emergencial_ _x000a_ _x000a_ _x000a_substituição de trafo bucha quebrada e 02 poste quebrado  _x000a_"/>
  </r>
  <r>
    <x v="116"/>
    <s v="jun"/>
    <x v="1"/>
    <x v="2"/>
    <s v="EXPURGO"/>
    <x v="2"/>
    <s v="esteira 1.582"/>
    <s v="ABALROAMENTO"/>
    <n v="5702266007"/>
    <s v="ENC-LMPS01  000156/2026"/>
    <n v="212600559"/>
    <s v="2026-06-30 14:44"/>
    <s v="2026-06-30 02:31"/>
    <s v="FORMS SUBST DE TRANSFORMADOR"/>
    <s v="ENC-RD-PS"/>
    <s v="MIRACEMA DO TOCANTINS"/>
    <s v="QUEIMADO"/>
    <s v="ABALROADO"/>
    <s v="107284"/>
    <n v="502527"/>
    <s v="sim"/>
    <s v="CAUSADA POR TERCEIROS"/>
    <s v="VANDALISMO"/>
    <s v="CAUSADA POR TERCEIROS"/>
    <s v="VANDALISMO"/>
    <s v="não"/>
    <s v="leitura caso a caso"/>
    <s v="Fora do indicador: a SS está gravada no sistema como abalroamento."/>
    <s v="Segue nota de Trafo queimado 5702266007 5KVA, e poste quebrado na mesma estrutura 10/300 do trafo N-1 /S1 ,TRAFO FICA LOCALIZADO ANTES DA DERIVAÇÃO DA CHAVE 0300139007"/>
    <s v="SS ENC-RD-PS 606/2026 _x000a_Trafo  5702266007  _x000a_TRAFO FICA LOCALIZADO ANTES DA DERIVAÇÃO DA CHAVE 0300139007 _x000a_ _x000a_ _x000a_ _x000a_TRAFO RETIRADO _x000a_POTÊNCIA : 5KVA _x000a_TENSÃO :_x0009_ 13.8KV _x000a_Nº ENERGISA (CITD) : 21761 _x000a_Nº DE SÉRIE : 107284 _x000a_MARCA : TRAEL _x000a_DATA FABRICAÇÃO : ABR/2007 _x000a_IMPEDANCIA : 2.50 _x000a_POS. TAP : 01 _x000a_ _x000a_TRAFO INSTALADO' _x000a_POTÊNCIA : 15KVA _x000a_TENSÃO :_x0009_ 13.8KV _x000a_Nº ENERGISA (CITD) : 120055 _x000a_Nº DE SÉRIE : 502527 _x000a_MARCA : TRAEL _x000a_DATA FABRICAÇÃO : 2019 _x000a_IMPEDANCIA : 2.67 _x000a_POS. TAP : 03 _x000a_ _x000a_"/>
  </r>
  <r>
    <x v="117"/>
    <s v="jun"/>
    <x v="1"/>
    <x v="2"/>
    <s v="EXPURGO"/>
    <x v="0"/>
    <s v="esteira 1.582"/>
    <s v="ABALROAMENTO"/>
    <n v="5700858029"/>
    <s v="DBM-MLDB04  000094/2026"/>
    <n v="412600528"/>
    <s v="2026-06-29 21:50"/>
    <s v="2026-07-01 16:04"/>
    <s v="FORMS SUBST DE TRANSFORMADOR"/>
    <s v="ETO-RD-GU"/>
    <s v="PALMEIROPOLIS"/>
    <s v="QUEIMADO"/>
    <s v="ABALROADO"/>
    <s v="696358"/>
    <m/>
    <s v="não"/>
    <s v="POSTE DE AT"/>
    <s v="ABALROADO"/>
    <s v="POSTE DE AT"/>
    <s v="ABALROADO"/>
    <s v="não"/>
    <s v="leitura caso a caso"/>
    <s v="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
    <s v="Segue nota para substuiçao de poste 10/300 ID 56140072 e transformador 5700858029 asseço livre trafo de 05kva tensao 34,5 kv"/>
    <s v="Segue nota para substuiçao de poste 10/300 ID 56140072 _x000a_ e transformador 5700858029 asseço livre trafo de 05kva tensao 34,5 kv _x000a_ _x000a_SUBSTITUIÇÃO DE TRANSFORMADOR NA RDR DE SÃO SALVADOR _x000a_ _x000a_INT: 20264571595148 _x000a_ _x000a_SS: ETO-RD-GU 685/2026 _x000a_ _x000a_ESPECIFICAÇÕES DO TRANSFORMADOR _x000a_ _x000a_TRANSFORMADOR INSTALADO:  15 KVA _x000a_ _x000a_TRANSFORMADOR RETIRADO: 05 KVA _x000a_ _x000a_ _x000a_"/>
  </r>
  <r>
    <x v="118"/>
    <s v="jul"/>
    <x v="1"/>
    <x v="2"/>
    <s v="EXPURGO"/>
    <x v="2"/>
    <s v="leitura do texto (jan–ago)"/>
    <s v="ABALROAMENTO"/>
    <n v="5710509094"/>
    <s v="DBM-MLDB04  000098/2026"/>
    <n v="412600541"/>
    <s v="2026-07-05 10:11"/>
    <s v="2026-07-06 14:43"/>
    <s v="FORMS SUBST DE TRANSFORMADOR"/>
    <s v="ETO-RD-GU"/>
    <s v="PEIXE"/>
    <s v="AVARIADO"/>
    <s v="ABALROADO"/>
    <s v="1004589"/>
    <n v="827994"/>
    <s v="sim"/>
    <m/>
    <m/>
    <m/>
    <m/>
    <s v="não"/>
    <s v="leitura caso a caso"/>
    <s v="Troca motivada por poste abalroado — causa externa, não falha do equipamento. O campo confirma o motivo (ABALROADO) e não aponta vazamento. Não houve conferência na base de interrupção (julho não carregado)."/>
    <s v="Segue Solicitação de Serviço para substituição de transformador que teve o poste abalroado.Transformador: 5710509094Obs: Levar estrutura completaAcesso Livre"/>
    <s v="Segue Solicitação de Serviço para substituição de transformador que teve o poste abalroado. _x000a_ _x000a_Transformador: 5710509094 _x000a_Obs: Levar estrutura completa _x000a_Acesso Livre _x000a_ _x000a_SUBSTITUIÇÃO DE TRANSFORMADOR NA RDR DE PEIXE _x000a_ _x000a_SS: ETO-RD-GU 696/2026 _x000a_ _x000a_ESPECIFICAÇÕES DO TRANSFORMADOR _x000a_ _x000a_TRANSFORMADOR INSTALADO:  15 KVA _x000a_ _x000a_TRANSFORMADOR RETIRADO: 15 KVA _x000a_ _x000a_MEDIÇÕES _x000a_ _x000a_LOGO APÓS A TROCA  _x000a_ _x000a_VAN: 214 _x000a_ _x000a_OBS:SUBSTITUIÇÃO DE TRANSFORMADOR AUTORIZADA PELO DIONE."/>
  </r>
  <r>
    <x v="119"/>
    <s v="jan"/>
    <x v="1"/>
    <x v="3"/>
    <s v="EXPURGO"/>
    <x v="0"/>
    <s v="esteira 1.582"/>
    <s v="DANO DE TERCEIROS"/>
    <n v="5700581043"/>
    <s v="DG-MPDG01  000045/2026"/>
    <n v="312600108"/>
    <s v="2026-01-30 18:00"/>
    <s v="2026-02-01 16:38"/>
    <s v="FORMS SUBST DE TRANSFORMADOR"/>
    <s v="DG-RD-PO"/>
    <s v="SILVANOPOLIS"/>
    <s v="QUEIMADO"/>
    <s v="VANDALISMO"/>
    <s v="723966"/>
    <n v="820260"/>
    <s v="sim"/>
    <s v="CAUSADA POR TERCEIROS"/>
    <s v="INTERVENCAO NA REDE SEM AUTORIZACAO"/>
    <m/>
    <m/>
    <s v="SIM"/>
    <s v="leitura caso a caso"/>
    <s v="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
    <s v="INT: 20264106798194Segue SS de TR 5700581043 5KVA/19.9 e para-raios queimados.Acesso livre.UC 10231930FAZENDA UNIAO II63 99104-0797DANIEL PEREIRA PAIXAO152OP01 63 8413-9467"/>
    <s v="medido_ _x000a_emergenciall_ _x000a_ _x000a_ _x000a_INT: 20264106798194 _x000a_Segue SS de TR 5700581043 5KVA/19.9 e para-raios queimados. _x000a_Acesso livre. _x000a_UC 10231930 _x000a_FAZENDA UNIAO II _x000a_63 99104-0797 _x000a_DANIEL PEREIRA PAIXAO _x000a_152OP01 63 8413-9467 _x000a_"/>
  </r>
  <r>
    <x v="120"/>
    <s v="jan"/>
    <x v="1"/>
    <x v="4"/>
    <s v="EXPURGO"/>
    <x v="0"/>
    <s v="esteira 1.582"/>
    <s v="ERRO DE CADASTRO — NÃO É TRANSFORMADOR"/>
    <n v="4211178035"/>
    <s v="DG-MLPO01  000008/2026"/>
    <n v="312600016"/>
    <s v="2026-01-04 20:54"/>
    <s v="2026-01-05 12:50"/>
    <s v="FORMS SUBST DE TRANSFORMADOR"/>
    <s v="DG-RD-PO"/>
    <s v="MONTE DO CARMO"/>
    <s v="QUEIMADO"/>
    <s v="DESCARGA ATMOSFÉRICA"/>
    <s v="186215"/>
    <n v="1622886"/>
    <s v="sim"/>
    <s v="TRANSFORMADOR"/>
    <s v="QUEIMADO POR DESCARGA ATMOSFERICA"/>
    <s v="TRANSFORMADOR"/>
    <s v="QUEIMADO POR DESCARGA ATMOSFERICA"/>
    <s v="SIM"/>
    <s v="leitura caso a caso"/>
    <s v="Fora do indicador: o código do ativo não é de transformador — não começa com 52, 53 ou 57."/>
    <s v="Trafo 4211178035 de 15kva e para-raio queimado, Tensão 7,9kv, Acesso para camionete 4x4, Rural de Monte do Carmo faz. IND FAZENDA COFRE DE OURO, 0 - FAZENDA PROVIDENCIA DIVINA."/>
    <s v="medido_ _x000a_emergencial_ _x000a_ _x000a_ _x000a_substituição de trafo queimado rdr monte do carmo _x000a_"/>
  </r>
  <r>
    <x v="121"/>
    <s v="fev"/>
    <x v="1"/>
    <x v="4"/>
    <s v="EXPURGO"/>
    <x v="0"/>
    <s v="esteira 1.582"/>
    <s v="ERRO DE CADASTRO — NÃO É TRANSFORMADOR"/>
    <n v="5700299024"/>
    <s v="ETO-RD-GR  000276/2026"/>
    <n v="712600138"/>
    <s v="2026-02-08 10:49"/>
    <s v="2026-02-09 17:29"/>
    <s v="FORMS SUBST DE TRANSFORMADOR"/>
    <s v="ETO-RD-GR"/>
    <s v="ITAPORA DO TOCANTINS"/>
    <s v="QUEIMADO"/>
    <s v="DESCARGA ATMOSFÉRICA"/>
    <m/>
    <m/>
    <s v="não"/>
    <m/>
    <m/>
    <s v="TRANSFORMADOR"/>
    <s v="QUEIMADO POR DESCARGA ATMOSFERICA"/>
    <s v="SIM"/>
    <s v="leitura caso a caso"/>
    <s v="Fora do indicador: possível erro de cadastro do código do ativo."/>
    <s v="TR-5700299024 QueimadoNO CADASTRO DIZ QUE É O TRAFO 5700036153, POREM EM CAMPO É O TRAFO 5700299024para raios bompotência 15kvatensão 13,8kvacesso livreequipe 154op01 tel-992674347"/>
    <s v="TR-5700299024 Queimado _x000a_NO CADASTRO DIZ QUE É O TRAFO 5700036153, POREM EM CAMPO É O TRAFO 5700299024 _x000a_para raios bom _x000a_potência 15kva _x000a_tensão 13,8kv _x000a_acesso livre _x000a_equipe 154op01 tel-992674347"/>
  </r>
  <r>
    <x v="122"/>
    <s v="jan"/>
    <x v="1"/>
    <x v="5"/>
    <s v="EXPURGO"/>
    <x v="0"/>
    <s v="esteira 1.582"/>
    <s v="FALTA DE FASE"/>
    <n v="5713185081"/>
    <s v="ENC-MLAG01  000008/2026"/>
    <n v="662600031"/>
    <s v="2026-01-08 21:39"/>
    <s v="2026-01-09 19:54"/>
    <s v="AVISO DE ANOMALIA"/>
    <s v="ETO-RD-AG"/>
    <s v="ITAGUATINS"/>
    <s v="AVARIADO"/>
    <s v="BUCHA DANIFICADA"/>
    <s v="343246"/>
    <m/>
    <s v="não"/>
    <m/>
    <m/>
    <m/>
    <m/>
    <s v="não"/>
    <s v="leitura caso a caso"/>
    <s v="Fora do indicador: o texto declara falta de fase interna, e a troca foi executada como plano de medida com aumento de potência — o defeito existiu, mas a decisão foi de capacidade."/>
    <s v="TR 5713185081 FALTANDO FASE INTERNA, SAINDO SOMENTE FASE BPOT. 15KVA TENSÃO 13,8KV PARA-RAIO RUIMACESSO SOMENTE DE BARCO FICA NA ILHA EM ITAGUATINS 081OP01 SABE LOCAL"/>
    <s v="OS PARA SUBSTITUICAO DE TRAFO QUEIMADO _x000a_ _x000a_TR 5713185081 FALTANDO FASE INTERNA, SAINDO SOMENTE FASE B _x000a_POT. 15KVA TENSÃO 13,8KV PARA-RAIO RUIM _x000a_ACESSO SOMENTE DE BARCO FICA NA ILHA EM ITAGUATINS 081OP01 SABE LOCAL _x000a_ _x000a_ _x000a_TRAFO RETIRADO _x000a_ _x000a_POTÊNCIA; 15KVA 13.8KV _x000a_DATA DE FAB; MARÇO/2015 _x000a_MARCA; TRAEL _x000a_Nº CITD; 05019025 _x000a_Nº SÉRIE; 343246 _x000a_IMPEDÂNICA; 2,47 _x000a_ _x000a_TRAFO INSTALADO  _x000a_ _x000a_POTÊNCIA; 25KVA 13.8KV _x000a_DATA DE FAB; 02/2025 _x000a_MARCA; ITAM _x000a_Nº CITD; 145450 _x000a_Nº SÉRIE; Z.272832 _x000a_IMPEDÂNICA; 2,66 _x000a_MEDIÇÃO; 7,77 / 7,75 / 7,66 _x000a_ _x000a_"/>
  </r>
  <r>
    <x v="123"/>
    <s v="jan"/>
    <x v="1"/>
    <x v="5"/>
    <s v="EXPURGO"/>
    <x v="1"/>
    <s v="esteira 1.582"/>
    <s v="FALTA DE FASE"/>
    <n v="5701235130"/>
    <s v="ETO-RD-AG  000036/2026"/>
    <n v="662600039"/>
    <s v="2026-01-12 22:16"/>
    <s v="2026-01-13 13:01"/>
    <s v="AVISO DE ANOMALIA"/>
    <s v="ETO-RD-AG"/>
    <s v="SAO MIGUEL DO TOCANTINS"/>
    <s v="AVARIADO"/>
    <s v="BUCHA DANIFICADA"/>
    <s v="4675"/>
    <m/>
    <s v="não"/>
    <s v="DESLIGAMENTO SEM PROGRAMACAO PREVIA"/>
    <s v="RD DE AT"/>
    <m/>
    <m/>
    <s v="não"/>
    <s v="leitura caso a caso"/>
    <s v="Fora do indicador: o texto declara falta de fase interna, e a troca foi executada como plano de medida com aumento de potência — o defeito existiu, mas a decisão foi de capacidade."/>
    <s v="trafo com falta de fase interna"/>
    <s v="PLANO DE MEDIDA - Realizar substituição do trafo 5701235130 de 75 kVA para 112,5 kVA. _x000a_ _x000a_ _x000a_ _x000a_TRAFO RETIRADO _x000a_ _x000a_POTÊNCIA; 75KV A34,5KV _x000a_DATA DE FAB; SET/2012 _x000a_MARCA; TRANSFORMAN _x000a_Nº CITD; N/A _x000a_Nº SÉRIE; 4675 _x000a_IMPEDÂNCIA; 4,0 _x000a_ _x000a_TRAFO INSTALADO  _x000a_ _x000a_POTÊNCIA; 112,5KVA 34,5KV _x000a_DATA DE FAB; 09/2024 _x000a_MARCA; TAMURA _x000a_Nº CITD; 143806 _x000a_Nº SÉRIE; 90084-020 _x000a_IMPEDÂNCIA; 3,91 _x000a_MEDIÇÃO; 9,16 / 07,70 / 08,79 _x000a_ _x000a_ _x000a_"/>
  </r>
  <r>
    <x v="124"/>
    <s v="jan"/>
    <x v="1"/>
    <x v="6"/>
    <s v="EXPURGO"/>
    <x v="3"/>
    <s v="esteira 1.582"/>
    <s v="FURTO"/>
    <n v="5700236001"/>
    <s v="DG-MPPO01  000023/2026"/>
    <n v="312600094"/>
    <s v="2026-01-20 08:33"/>
    <s v="2026-01-20 14:14"/>
    <s v="FORMS SUBST DE TRANSFORMADOR"/>
    <s v="DG-RD-PO"/>
    <s v="PORTO NACIONAL"/>
    <s v="FURTADO"/>
    <s v="FURTADO"/>
    <s v="432294"/>
    <n v="1597384"/>
    <s v="sim"/>
    <s v="CAUSADA POR TERCEIROS"/>
    <s v="ROUBO DE TRANSFORMADOR"/>
    <m/>
    <m/>
    <s v="não"/>
    <s v="leitura caso a caso"/>
    <s v="Fora do indicador: o texto declara furto, roubo ou vandalismo."/>
    <s v="INSTALAÇÃO DE UM NOVO TRAFO QUE FOI FURTADO.TRAFO 5700236001 DE 45KVA DA 13.8. ACESSO LIVRE. 18 CLIENTES PENALIZADOS."/>
    <s v="medido_ _x000a_emergencial_ _x000a_ _x000a_ _x000a_substituição de trafo furtado rdu porto _x000a_"/>
  </r>
  <r>
    <x v="125"/>
    <s v="jan"/>
    <x v="1"/>
    <x v="6"/>
    <s v="EXPURGO"/>
    <x v="3"/>
    <s v="esteira 1.582"/>
    <s v="FURTO"/>
    <n v="5711292001"/>
    <s v="DG-MPDG01  000046/2026"/>
    <n v="312600128"/>
    <s v="2026-01-30 21:23"/>
    <s v="2026-01-31 17:22"/>
    <s v="FORMS SUBST DE TRANSFORMADOR"/>
    <s v="DG-RD-PO"/>
    <s v="PORTO NACIONAL"/>
    <s v="FURTADO"/>
    <s v="FURTADO"/>
    <s v="n/t"/>
    <n v="820313"/>
    <s v="sim"/>
    <m/>
    <m/>
    <m/>
    <m/>
    <s v="não"/>
    <s v="leitura caso a caso"/>
    <s v="Fora do indicador: o texto declara furto, roubo ou vandalismo."/>
    <s v="INT: 20264112069103Segue SS de TR 5711292001 10KVA/7.9KV furtado.UC 6438784CHACARA SANTA MARIA63992697212LOURENCO DIOLINDO PEREIRA001OP11 63 99111-1776"/>
    <s v="medido_ _x000a_emergencial_ _x000a_ _x000a_cobrando sobre aviso da pedrini 24 a 26/01/2026 _x000a_INT: 20264112069103 _x000a_Segue SS de TR 5711292001 10KVA/7.9KV furtado. _x000a_UC 6438784 _x000a_CHACARA SANTA MARIA _x000a_63992697212 _x000a_LOURENCO DIOLINDO PEREIRA _x000a_001OP11 63 99111-1776 _x000a_"/>
  </r>
  <r>
    <x v="126"/>
    <s v="jan"/>
    <x v="1"/>
    <x v="6"/>
    <s v="EXPURGO"/>
    <x v="1"/>
    <s v="esteira 1.582"/>
    <s v="FURTO"/>
    <n v="5710042046"/>
    <s v="ENC-LMPS04  000003/2026"/>
    <n v="212600054"/>
    <s v="2026-01-05 14:47"/>
    <s v="2026-01-07 17:50"/>
    <s v="FORMS SUBST DE TRANSFORMADOR"/>
    <s v="ENC-RD-PS"/>
    <s v="OLIVEIRA DE FATIMA"/>
    <s v="FURTADO"/>
    <s v="VANDALISMO"/>
    <s v="373581"/>
    <m/>
    <s v="não"/>
    <s v="TRANSFORMADOR"/>
    <s v="VAZAMENTO DE OLEO / TANQUE DETERIORADO"/>
    <s v="TRANSFORMADOR"/>
    <s v="VAZAMENTO DE OLEO / TANQUE DETERIORADO"/>
    <s v="não"/>
    <s v="leitura caso a caso"/>
    <s v="Fora do indicador: a obra e o projeto contábil declaram furto. A interrupção descreve o evento elétrico, não a causa da reposição."/>
    <s v="SS PARA TRAFO 5710042046 FUTADO POTENCIA: 15KVAACESSO: LIVRE"/>
    <s v="SS ENC-RD-PS 16/2026 _x000a_TRAFO 5710042046  _x000a_ _x000a_ _x000a_ _x000a_ _x000a_ _x000a_ _x000a_TRAFO RETIRADO _x000a_POTÊNCIA : 15KVA _x000a_TENSÃO :_x0009_ 34.5KV _x000a_Nº ENERGISA (CITD) : 06897 _x000a_Nº DE SÉRIE : 373581 _x000a_MARCA : TOSHIBA _x000a_DATA FABRICAÇÃO : 03/2000 _x000a_IMPEDANCIA : 3 _x000a_POS. TAP : 01 _x000a_ _x000a_TRAFO INSTALADO' _x000a_POTÊNCIA : 25KVA _x000a_TENSÃO :_x0009_ 34.5KV _x000a_Nº ENERGISA (CITD) : 144379 _x000a_Nº DE SÉRIE : Z260738 _x000a_MARCA : ITAM _x000a_DATA FABRICAÇÃO : 12/2024 _x000a_IMPEDANCIA : 3.17 _x000a_POS. TAP : 03 _x000a_"/>
  </r>
  <r>
    <x v="127"/>
    <s v="jan"/>
    <x v="1"/>
    <x v="6"/>
    <s v="EXPURGO"/>
    <x v="3"/>
    <s v="esteira 1.582"/>
    <s v="FURTO"/>
    <n v="5700958055"/>
    <s v="ENC-LMPS04  000016/2026"/>
    <n v="212600084"/>
    <s v="2026-01-17 09:16"/>
    <s v="2026-01-19 17:04"/>
    <s v="FORMS SUBST DE TRANSFORMADOR"/>
    <s v="ENC-RD-PS"/>
    <s v="ARAGUACEMA"/>
    <s v="FURTADO"/>
    <s v="VANDALISMO"/>
    <s v="-"/>
    <n v="290398"/>
    <s v="não"/>
    <m/>
    <m/>
    <m/>
    <m/>
    <s v="não"/>
    <s v="leitura caso a caso"/>
    <s v="Fora do indicador: o texto declara furto, roubo ou vandalismo."/>
    <s v="TRAFO 5700958055 FURTADO 15KVA 19,9KV ACESSO BOM"/>
    <s v="SS  ENC-RD-PS 90/2026 _x000a_TRAFO 5700958055 _x000a_ _x000a_ _x000a_ _x000a_OBS: TRAFO FURTADO - O SUCATA NÃO ESTAVA NO LOCAL _x000a_ _x000a_ _x000a_TRAFO INSTALADO' _x000a_POTÊNCIA : 15KVA _x000a_TENSÃO :_x0009_ 34.5KV _x000a_Nº ENERGISA (CITD) : 149805 _x000a_Nº DE SÉRIE : 290398 _x000a_MARCA : IATM _x000a_DATA FABRICAÇÃO : 10/2025 _x000a_IMPEDANCIA : 3.13 _x000a_POS. TAP : 03 _x000a_ _x000a_"/>
  </r>
  <r>
    <x v="128"/>
    <s v="jan"/>
    <x v="1"/>
    <x v="6"/>
    <s v="EXPURGO"/>
    <x v="0"/>
    <s v="esteira 1.582"/>
    <s v="FURTO"/>
    <n v="5700380046"/>
    <s v="ENC-LMPS04  000018/2026"/>
    <n v="212600107"/>
    <s v="2026-01-20 20:17"/>
    <s v="2026-01-21 14:10"/>
    <s v="FORMS SUBST DE TRANSFORMADOR"/>
    <s v="ENC-RD-PS"/>
    <s v="NOVA ROSALANDIA"/>
    <s v="QUEIMADO"/>
    <s v="DESCARGA ATMOSFÉRICA"/>
    <s v="370550"/>
    <m/>
    <s v="não"/>
    <s v="TRANSFORMADOR"/>
    <s v="QUEIMADO POR DESCARGA ATMOSFERICA"/>
    <s v="TRANSFORMADOR"/>
    <s v="QUEIMADO POR DESCARGA ATMOSFERICA"/>
    <s v="não"/>
    <s v="leitura caso a caso"/>
    <s v="Fora do indicador: a obra e o projeto contábil declaram furto. A interrupção descreve o evento elétrico, não a causa da reposição."/>
    <s v="5700380046 QUEIMADO 15KVA 19,9KV ACESSO BOM"/>
    <s v="SS ENC-RD-PS 108/2026 _x000a_ TRAFO 5700380046  _x000a_ _x000a_ _x000a_ _x000a_TRAFO RETIRADO _x000a_POTÊNCIA : 15KVA _x000a_TENSÃO :_x0009_ 34.5KV _x000a_Nº ENERGISA (CITD) : 06114 _x000a_Nº DE SÉRIE : 370550 _x000a_MARCA : TOSHIBA _x000a_DATA FABRICAÇÃO : 11/1999 _x000a_IMPEDANCIA : 2,90 _x000a_POS. TAP : 03 _x000a_ _x000a_TRAFO INSTALADO' _x000a_POTÊNCIA : 15KVA _x000a_TENSÃO :_x0009_ 34.5KV _x000a_Nº ENERGISA (CITD) : 149777 _x000a_Nº DE SÉRIE : C290338 _x000a_MARCA : ITAM _x000a_DATA FABRICAÇÃO : 10/2025 _x000a_IMPEDANCIA : 3.16 _x000a_POS. TAP : 03 _x000a_"/>
  </r>
  <r>
    <x v="129"/>
    <s v="jan"/>
    <x v="1"/>
    <x v="6"/>
    <s v="EXPURGO"/>
    <x v="0"/>
    <s v="esteira 1.582"/>
    <s v="FURTO"/>
    <n v="5700455046"/>
    <s v="ENC-LMPS01  000037/2026"/>
    <n v="212600152"/>
    <s v="2026-01-30 16:57"/>
    <s v="2026-02-01 15:10"/>
    <s v="FORMS SUBST DE TRANSFORMADOR"/>
    <s v="ENC-RD-PS"/>
    <s v="NOVA ROSALANDIA"/>
    <s v="FURTADO"/>
    <s v="FURTADO"/>
    <s v="16407"/>
    <n v="805982"/>
    <s v="sim"/>
    <s v="TRANSFORMADOR"/>
    <s v="QUEIMADO POR DESCARGA ATMOSFERICA"/>
    <m/>
    <m/>
    <s v="não"/>
    <s v="leitura caso a caso"/>
    <s v="Fora do indicador: a obra e o projeto contábil declaram furto. A interrupção descreve o evento elétrico, não a causa da reposição."/>
    <s v="TR 570045504625KVAPARA RAIO DANIFICADO TENSAO 13800EQUIPE 046OP01 CHEGOU NO LOCAL TRAFO ESTAVA NO CHAO AO QUE TUDO INDICA O MESMO FOI FURTADO 046OP01"/>
    <s v="SS ENC-RD-PS 154/2026 _x000a_TR 5700455046 _x000a_ _x000a_ _x000a_TRAFO RETIRADO _x000a_POTÊNCIA : 25KVA _x000a_TENSÃO :_x0009_ 13.8KV _x000a_Nº ENERGISA (CITD) : ILEGIVEL _x000a_Nº DE SÉRIE : 16407 _x000a_MARCA : VEGAN _x000a_DATA FABRICAÇÃO : 12/2013 _x000a_IMPEDANCIA : 2.58 _x000a_POS. TAP : 03 _x000a_ _x000a_TRAFO INSTALADO' _x000a_POTÊNCIA : 25KVA _x000a_TENSÃO :_x0009_ 13.8KV _x000a_Nº ENERGISA (CITD) : 144624 _x000a_Nº DE SÉRIE : 805982 _x000a_MARCA : ROMAGNOLE _x000a_DATA FABRICAÇÃO : 08/11 _x000a_IMPEDANCIA : 2.42 _x000a_POS. TAP : 03 _x000a_"/>
  </r>
  <r>
    <x v="130"/>
    <s v="jan"/>
    <x v="1"/>
    <x v="6"/>
    <s v="EXPURGO"/>
    <x v="3"/>
    <s v="esteira 1.582"/>
    <s v="FURTO"/>
    <n v="5700150156"/>
    <s v="ETO-RD-AG  000073/2026"/>
    <n v="662600065"/>
    <s v="2026-01-27 13:18"/>
    <s v="2026-01-28 00:22"/>
    <s v="FORMS SUBST DE TRANSFORMADOR"/>
    <s v="ETO-RD-AG"/>
    <s v="CACHOEIRINHA"/>
    <s v="FURTADO"/>
    <s v="FURTADO"/>
    <s v="N/A"/>
    <n v="799461"/>
    <s v="não"/>
    <m/>
    <m/>
    <m/>
    <m/>
    <s v="não"/>
    <s v="leitura caso a caso"/>
    <s v="Fora do indicador: o texto declara furto, roubo ou vandalismo."/>
    <s v="transformador furtado 5700150156  potencia 5kva tensão 19.9kv  acesso livre leva chave fusivel a mesma foi furtada eleva  cabo para junper e glv leva para-raioequipe: 6399616867"/>
    <s v="transformador furtado 5700150156  potencia 5kva tensão 19.9kv  acesso livre leva chave fusivel a mesma foi furtada eleva  cabo para junper e glv leva para-raio _x000a_equipe: 6399616867 _x000a_SS -ETO-RD-AG 00104/2026 _x000a_ _x000a_ _x000a_TRAFO INSTALADO _x000a_ _x000a_POTÊNCIA; 15KVA 34,5KV _x000a_DATA DE FAB; OUT/2025 _x000a_MARCA; TRAEL _x000a_Nº CITD; 149112 _x000a_Nº SÉRIE; 799461 _x000a_IMPEDEÂNCIA; 3,0 _x000a_MEDIÇÃO; 5,61 / 7,60 / 6,65"/>
  </r>
  <r>
    <x v="131"/>
    <s v="fev"/>
    <x v="1"/>
    <x v="6"/>
    <s v="EXPURGO"/>
    <x v="3"/>
    <s v="esteira 1.582"/>
    <s v="FURTO"/>
    <n v="5710029090"/>
    <s v="ENC-MLAG02  000040/2026"/>
    <n v="662600114"/>
    <s v="2026-02-11 12:17"/>
    <s v="2026-02-14 10:18"/>
    <s v="FORMS SUBST DE TRANSFORMADOR"/>
    <s v="ETO-RD-AG"/>
    <s v="NAZARE"/>
    <s v="FURTADO"/>
    <s v="FURTADO"/>
    <s v="00"/>
    <n v="799440"/>
    <s v="não"/>
    <s v="TRANSFORMADOR"/>
    <s v="SUBTENSAO"/>
    <s v="TRANSFORMADOR"/>
    <s v="SUBTENSAO"/>
    <s v="não"/>
    <s v="leitura caso a caso"/>
    <s v="Fora do indicador: o texto declara furto, roubo ou vandalismo."/>
    <s v="Conforme informações da equipe 090OP01 , segue SS para transformador 5710029090 15KVA na 34,5 furtado , pararaio e ramal de serviço . Acesso camionete"/>
    <s v="Conforme informações da equipe 090OP01 , segue SS para transformador 5710029090 15KVA na 34,5 furtado , pararaio e ramal de serviço . Acesso camionete _x000a_ _x000a_ _x000a_TRAFO Nº 571002909. _x000a_ _x000a_TRAOF INSTALADO  _x000a_  _x000a_POTÊNCIA; 15KVA 34,5KV _x000a_DATA DE FAB;  OUTUBRO/2025 _x000a_POS. DO TAP; 3 _x000a_MARCA; ITB _x000a_Nº CITD; 149091 _x000a_Nº SÉRIE; 799440 _x000a_IMPEDÂNCIA; 3,0 _x000a_MEDIÇÃO;  1,56 / 2,14 / 1,79"/>
  </r>
  <r>
    <x v="132"/>
    <s v="fev"/>
    <x v="1"/>
    <x v="6"/>
    <s v="EXPURGO"/>
    <x v="0"/>
    <s v="esteira 1.582"/>
    <s v="FURTO"/>
    <n v="5710232094"/>
    <s v="DBM-MPDB08  000036/2026"/>
    <n v="412600181"/>
    <s v="2026-02-05 11:49"/>
    <s v="2026-02-06 13:58"/>
    <s v="FORMS SUBST DE TRANSFORMADOR"/>
    <s v="ETO-RD-GU"/>
    <s v="PEIXE"/>
    <s v="FURTADO"/>
    <s v="FURTADO"/>
    <s v="495286"/>
    <n v="1557592"/>
    <s v="sim"/>
    <s v="TRANSFORMADOR"/>
    <s v="QUEIMADO POR DESCARGA ATMOSFERICA"/>
    <m/>
    <m/>
    <s v="não"/>
    <s v="leitura caso a caso"/>
    <s v="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
    <s v="transformador e medidor furtado acesso livre"/>
    <s v="SUBSTITUIÇÃO DE TRANSFORMADOR NA RDR DE PEIXE _x000a_ _x000a_INT: 20264118395093 _x000a_ _x000a_SS: ETO-RD-GU 179/2026 _x000a_ _x000a_ESPECIFICAÇÕES DO TRANSFORMADOR _x000a_ _x000a_TRANSFORMADOR INSTALADO: 30 KVA _x000a_ _x000a_TRANSFORMADOR RETIRADO: 30 KVA _x000a_ _x000a_OBS:SUBSTITUIÇÃO DE TRANSFORMADOR AUTORIZADA PELO DIONE. _x000a_ _x000a_"/>
  </r>
  <r>
    <x v="133"/>
    <s v="mar"/>
    <x v="1"/>
    <x v="6"/>
    <s v="EXPURGO"/>
    <x v="3"/>
    <s v="esteira 1.582"/>
    <s v="FURTO"/>
    <n v="5700019014"/>
    <s v="ENC-MPPS01  000061/2026"/>
    <n v="212600291"/>
    <s v="2026-03-07 16:15"/>
    <s v="2026-03-09 16:35"/>
    <s v="FORMS SUBST DE TRANSFORMADOR"/>
    <s v="ENC-RD-PS"/>
    <s v="PIUM"/>
    <s v="FURTADO"/>
    <s v="FURTADO"/>
    <s v="182260"/>
    <n v="182550"/>
    <s v="sim"/>
    <m/>
    <m/>
    <m/>
    <m/>
    <s v="não"/>
    <s v="leitura caso a caso"/>
    <s v="Fora do indicador: o texto declara furto, roubo ou vandalismo."/>
    <s v="TR 570001901430KVATRAFO FURTADO ACESSO LIVRE CAMINHAO TENSAO 13800PARA RAIO DANIFICADO 014OP02 SERGIO"/>
    <s v="SS ENC-RD-PS 314/2026 _x000a_TR 5700019014 _x000a_ _x000a_ _x000a_TRAFO RETIRADO _x000a_POTÊNCIA : 30KVA _x000a_TENSÃO :_x0009_ 13.8KV _x000a_Nº ENERGISA (CITD) : ILEGIVEL _x000a_Nº DE SÉRIE : 182260 _x000a_MARCA : ABB _x000a_DATA FABRICAÇÃO : 11/01 _x000a_IMPEDANCIA : 3.62 _x000a_POS. TAP : 01 _x000a_ _x000a_TRAFO INSTALADO' _x000a_POTÊNCIA : 30KVA _x000a_TENSÃO :_x0009_ 13.8KV _x000a_Nº ENERGISA (CITD) : 135439 _x000a_Nº DE SÉRIE : 182550 _x000a_MARCA : ABB _x000a_DATA FABRICAÇÃO : 11/01 _x000a_IMPEDANCIA : 3.50 _x000a_POS. TAP : 02 _x000a_ _x000a_ _x000a_"/>
  </r>
  <r>
    <x v="134"/>
    <s v="mar"/>
    <x v="1"/>
    <x v="6"/>
    <s v="EXPURGO"/>
    <x v="0"/>
    <s v="esteira 1.582"/>
    <s v="FURTO"/>
    <n v="5700273116"/>
    <s v="ETO-MLDP01  000070/2026"/>
    <n v="512600132"/>
    <s v="2026-03-12 11:46"/>
    <s v="2026-03-13 17:31"/>
    <s v="FORMS SUBST DE TRANSFORMADOR"/>
    <s v="ETO-RD-DP"/>
    <s v="CHAPADA DA NATIVIDADE"/>
    <m/>
    <m/>
    <s v="973955"/>
    <n v="536014"/>
    <s v="sim"/>
    <s v="TRANSFORMADOR"/>
    <s v="QUEIMADO POR CAUSA NAO IDENTIFICADA"/>
    <s v="TRANSFORMADOR"/>
    <s v="QUEIMADO POR CAUSA NAO IDENTIFICADA"/>
    <s v="não"/>
    <s v="leitura caso a caso"/>
    <s v="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
    <s v="Constatado trafo 5700273116 de 15kVA na 19.9kV e para-raios furtados. Acesso bom."/>
    <s v="Constatado trafo 5700273116 de 15kVA na 19.9kV e para-raios furtados. Acesso bom."/>
  </r>
  <r>
    <x v="135"/>
    <s v="abr"/>
    <x v="1"/>
    <x v="6"/>
    <s v="EXPURGO"/>
    <x v="3"/>
    <s v="esteira 1.582"/>
    <s v="FURTO"/>
    <n v="5721980001"/>
    <s v="DG-MPDG01  000075/2026"/>
    <n v="312600379"/>
    <s v="2026-04-09 21:46"/>
    <s v="2026-04-10 11:43"/>
    <s v="FORMS SUBST DE TRANSFORMADOR"/>
    <s v="DG-RD-PO"/>
    <s v="PORTO NACIONAL"/>
    <s v="FURTADO"/>
    <s v="FURTADO"/>
    <s v="2512"/>
    <n v="122940"/>
    <s v="sim"/>
    <s v="CAUSADA POR TERCEIROS"/>
    <s v="ROUBO DE TRANSFORMADOR"/>
    <m/>
    <m/>
    <s v="não"/>
    <s v="leitura caso a caso"/>
    <s v="Fora do indicador: o texto declara furto, roubo ou vandalismo."/>
    <s v="Segue SS para atendimento com equipe de manutenção , substituir trafo 572198001 FURTADO na RDR de porto nacional , acesso livre , tensão 13,8 , pra-raio, potencia 45 kva OBS: TRAFO ATENDE BRK"/>
    <s v="medido_ _x000a_emergencial_ _x000a_ _x000a_ _x000a_substituição de trafo furtado rdu porto _x000a_"/>
  </r>
  <r>
    <x v="136"/>
    <s v="abr"/>
    <x v="1"/>
    <x v="6"/>
    <s v="EXPURGO"/>
    <x v="3"/>
    <s v="esteira 1.582"/>
    <s v="FURTO"/>
    <n v="5710168016"/>
    <s v="ENC-MLAR01  000174/2026"/>
    <n v="612600390"/>
    <s v="2026-04-10 16:26"/>
    <s v="2026-04-11 14:55"/>
    <s v="FORMS SUBST DE TRANSFORMADOR"/>
    <s v="ETO-RD-AR"/>
    <s v="WANDERLANDIA"/>
    <s v="FURTADO"/>
    <s v="FURTADO"/>
    <s v="s/n"/>
    <n v="808073"/>
    <s v="sim"/>
    <s v="CAUSA NAO IDENTIFICADA"/>
    <s v="CAUSA NAO IDENTIFICADA - ESPECIFICAR"/>
    <s v="CAUSA NAO IDENTIFICADA"/>
    <s v="CAUSA NAO IDENTIFICADA - ESPECIFICAR"/>
    <s v="não"/>
    <s v="leitura caso a caso"/>
    <s v="Fora do indicador: o texto declara furto, roubo ou vandalismo."/>
    <s v="TRAFO FURTADOTENSÃO 34,5KVPOTENCIA 15 KVAACESSO BOM"/>
    <s v="ETO-RD-AR 662/2026 _x000a_TRAFO 5710168016 _x000a_ _x000a_TRAFO INSTALADO _x000a_POTÊNCIA : 15 KVA _x000a_TENSÃO :_x0009_ 34.5 KV _x000a_Nº ENERGISA (CITD) : 150350 _x000a_Nº DE SÉRIE : 808073 _x000a_MARCA : TRAEL _x000a_DATA FABRICAÇÃO : 02/2026 _x000a_IMPEDANCIA : 3,0 _x000a_POS. TAP : 05 _x000a_"/>
  </r>
  <r>
    <x v="137"/>
    <s v="abr"/>
    <x v="1"/>
    <x v="6"/>
    <s v="EXPURGO"/>
    <x v="1"/>
    <s v="esteira 1.582"/>
    <s v="FURTO"/>
    <n v="5710306004"/>
    <s v="ENC-MLAR05  000193/2026"/>
    <n v="612600427"/>
    <s v="2026-04-16 14:36"/>
    <s v="2026-04-17 11:45"/>
    <s v="FORMS SUBST DE TRANSFORMADOR"/>
    <s v="ETO-RD-AR"/>
    <s v="ARAGUAINA"/>
    <s v="FURTADO"/>
    <s v="FURTADO"/>
    <s v="S/N"/>
    <n v="827760"/>
    <s v="sim"/>
    <s v="TRANSFORMADOR"/>
    <s v="VAZAMENTO DE OLEO / TANQUE DETERIORADO"/>
    <s v="TRANSFORMADOR"/>
    <s v="VAZAMENTO DE OLEO / TANQUE DETERIORADO"/>
    <s v="não"/>
    <s v="leitura caso a caso"/>
    <s v="Fora do indicador: a obra e o projeto contábil declaram furto. A interrupção descreve o evento elétrico, não a causa da reposição."/>
    <s v="Trafo: 5710306004 furtado 15kvaTensão: 13.8Acesso: Somente para caminhoneteEndereço: IND FAZENDA TRES RANCHOS, 0 - FAZ. TRES RANCHOSEquipe: 004op11"/>
    <s v="ETO-RD-AR 693/2026 _x000a_TRAFO 5710306004 _x000a_TRAFO INSTALADO _x000a_POTÊNCIA : 15 KVA _x000a_TENSÃO :_x0009_ 13.8 KV _x000a_Nº ENERGISA (CITD) : 150037 _x000a_Nº DE SÉRIE : 827760 _x000a_MARCA : TRAEL _x000a_DATA FABRICAÇÃO : 02/2026 _x000a_IMPEDANCIA : 2,5 _x000a_POS. TAP : 05 _x000a_ _x000a_MEDIÇÃO 1: 8,32 _x000a_MEDIÇÃO 2: 8,11 _x000a_MEDIÇÃO 3: 7,89 _x000a_"/>
  </r>
  <r>
    <x v="138"/>
    <s v="abr"/>
    <x v="1"/>
    <x v="6"/>
    <s v="EXPURGO"/>
    <x v="3"/>
    <s v="esteira 1.582"/>
    <s v="FURTO"/>
    <n v="5700449058"/>
    <s v="ENC-MPAR01  000027/2026"/>
    <n v="612600426"/>
    <s v="2026-04-16 14:46"/>
    <s v="2026-04-17 15:30"/>
    <s v="FORMS SUBST DE TRANSFORMADOR"/>
    <s v="ETO-RD-AR"/>
    <s v="SANTA FE DO ARAGUAIA"/>
    <s v="FURTADO"/>
    <s v="FURTADO"/>
    <s v="S/N"/>
    <n v="828068"/>
    <s v="sim"/>
    <s v="CAUSADA POR TERCEIROS"/>
    <s v="ROUBO DE CONDUTORES"/>
    <m/>
    <m/>
    <s v="não"/>
    <s v="leitura caso a caso"/>
    <s v="Fora do indicador: o texto declara furto, roubo ou vandalismo."/>
    <s v="Trafo 5700449058 Furtado 15kvaTensão: 34.5Acesso: Livre Endereço: IND FAZENDA DALIA, 0 - CAIXA POSTAL 124Equipe: 040op36"/>
    <s v="ETO-RD-AR 694/2026 _x000a_TRAFO  5700449058 _x000a_TRAFO INSTALADO _x000a_POTÊNCIA : 15 KVA _x000a_TENSÃO :_x0009_ 34.5 KV _x000a_Nº ENERGISA (CITD) : 150345 _x000a_Nº DE SÉRIE : 828068 _x000a_MARCA : TRAEL _x000a_DATA FABRICAÇÃO : 02/2026 _x000a_IMPEDANCIA : 3,0 _x000a_POS. TAP : 05 _x000a_ _x000a_MEDIÇÃO 1: _x000a_MEDIÇÃO 2: _x000a_MEDIÇÃO 3: _x000a_"/>
  </r>
  <r>
    <x v="139"/>
    <s v="mai"/>
    <x v="1"/>
    <x v="6"/>
    <s v="EXPURGO"/>
    <x v="3"/>
    <s v="esteira 1.582"/>
    <s v="FURTO"/>
    <n v="5700478071"/>
    <s v="DG-MLPO02  000073/2026"/>
    <n v="312600301"/>
    <s v="2026-05-20 15:39"/>
    <s v="2026-05-21 12:44"/>
    <s v="FORMS SUBST DE TRANSFORMADOR"/>
    <s v="DG-RD-PO"/>
    <s v="BREJINHO DE NAZARE"/>
    <s v="FURTADO"/>
    <s v="FURTADO"/>
    <s v="n/t"/>
    <n v="29826"/>
    <s v="sim"/>
    <m/>
    <m/>
    <m/>
    <m/>
    <s v="não"/>
    <s v="leitura caso a caso"/>
    <s v="Fora do indicador: o texto declara furto, roubo ou vandalismo."/>
    <s v="SS PARA INSTALAR TRAFO DA PRAINHA DE BREIIM DE NAZARE 5700478071 O MESMO TINHA CIDO FURTADO NA EPOCA.POTENCIA: 45KVA 13800ACESSO: LIVRE"/>
    <s v="medido_ _x000a_emergencial_ _x000a_ _x000a_ _x000a_instalação de trafo praia brejinho "/>
  </r>
  <r>
    <x v="140"/>
    <s v="mai"/>
    <x v="1"/>
    <x v="6"/>
    <s v="EXPURGO"/>
    <x v="3"/>
    <s v="esteira 1.582"/>
    <s v="FURTO"/>
    <n v="5710032087"/>
    <s v="ENC-MLGR02  000097/2026"/>
    <n v="712600353"/>
    <s v="2026-05-05 16:23"/>
    <s v="2026-05-07 12:40"/>
    <s v="FORMS SUBST DE TRANSFORMADOR"/>
    <s v="ETO-RD-GR"/>
    <s v="GOIANORTE"/>
    <s v="FURTADO"/>
    <s v="FURTADO"/>
    <s v="0"/>
    <n v="827948"/>
    <s v="não"/>
    <m/>
    <m/>
    <m/>
    <m/>
    <s v="não"/>
    <s v="leitura caso a caso"/>
    <s v="Fora do indicador: o texto declara furto, roubo ou vandalismo."/>
    <s v="acionar equipe de manutencao para instalar toda estrutura do  trafo 5710032087 com chave e 50m de cabo AA/4 para atende a OS 108187588 equipe 087op01acesso livre"/>
    <s v="INSTALAÇÃO DE TRAFO FURTADO 5710032087 ETO-RD-GR 511/2026 ZONA RURAL - GOIANORTE 0087 _x000a_ _x000a_TRAFO INSTALADO _x000a_POTÊNCIA : 15KVA _x000a_TENSÃO : 19.9KV_x0009_ _x000a_Nº ENERGISA (CITD) : 150225 _x000a_Nº DE SÉRIE : 827948 _x000a_MARCA : TRAEL _x000a_DATA FABRICAÇÃO : 02/2026 _x000a_IMPEDANCIA : 3.0 _x000a_POS. TAP : 03 _x000a_ _x000a_MEDIÇÃO 1: 04.39 _x000a_MEDIÇÃO 2: 00.57 _x000a_MEDIÇÃO 3: 00.05 _x000a_ _x000a_COORDENADA _x000a_X: 727290 _x000a_Y: 9027567 _x000a_ _x000a_FOI INSTALADO 50 METROS DE CABO 2 ENTRE O POSTE DE ID-43024825 CORD. X-727276 Y-9027577 E O POSTE DE ID-43024830 CORD. X-727290 _x000a_Y-9027567 NO VÃO DE ID-71129305 _x000a_ _x000a_ _x000a_FOI INSTALADO UMA CHAVE FUSIVEL 34.5KV NO POSTE DE ID-43024830 CORD. X-"/>
  </r>
  <r>
    <x v="141"/>
    <s v="mai"/>
    <x v="1"/>
    <x v="6"/>
    <s v="EXPURGO"/>
    <x v="3"/>
    <s v="esteira 1.582"/>
    <s v="FURTO"/>
    <n v="5728443153"/>
    <s v="ENC-MLGR02  000105/2026"/>
    <n v="712600359"/>
    <s v="2026-05-17 14:36"/>
    <s v="2026-05-18 16:51"/>
    <s v="FORMS SUBST DE TRANSFORMADOR"/>
    <s v="ETO-RD-GR"/>
    <s v="BERNARDO SAYAO"/>
    <s v="FURTADO"/>
    <s v="FURTADO"/>
    <s v="0"/>
    <n v="362706"/>
    <s v="não"/>
    <m/>
    <m/>
    <m/>
    <m/>
    <s v="não"/>
    <s v="leitura caso a caso"/>
    <s v="Fora do indicador: o texto declara furto, roubo ou vandalismo."/>
    <s v="Boa tarde,Favor enviar manutenção para instalar trafo furtado na UC 2863234"/>
    <s v="INSTALAÇÃO DE TRAFO FURTADO 5728443153 ETO-RD-GR 537/2026 ZONA RURAL - BERNARDO SAYÃO 0153 _x000a_  _x000a_TRAFO INSTALADO _x000a_POTÊNCIA : 25KVA _x000a_TENSÃO : 19.9KV_x0009_ _x000a_Nº ENERGISA (CITD) : 143715 _x000a_Nº DE SÉRIE : 362706 _x000a_MARCA : TRAEL - TRAEL _x000a_DATA FABRICAÇÃO : 11/2017 - 02/2026 _x000a_IMPEDANCIA : 2.96 _x000a_POS. TAP : 03 _x000a_ _x000a_MEDIÇÃO 1: 06.46 _x000a_MEDIÇÃO 2: 04.02 _x000a_MEDIÇÃO 3: 02.75 _x000a_ _x000a_COORDENADA _x000a_X: 738463 _x000a_Y: 9101919 _x000a_ _x000a_ _x000a_OBS: FOI INSTALADO UMA CHAVE FUSIVEL NO TRAFO."/>
  </r>
  <r>
    <x v="142"/>
    <s v="jun"/>
    <x v="1"/>
    <x v="6"/>
    <s v="EXPURGO"/>
    <x v="3"/>
    <s v="esteira 1.582"/>
    <s v="FURTO"/>
    <n v="5700098098"/>
    <s v="ENC-MPAG01  000294/2026"/>
    <n v="662600398"/>
    <s v="2026-06-26 16:13"/>
    <s v="2026-06-28 14:07"/>
    <s v="SOLICITAÇÃO DE SERVIÇO"/>
    <s v="ETO-RD-AG"/>
    <s v="ANANAS"/>
    <s v="FURTADO"/>
    <s v="FURTADO"/>
    <s v="0"/>
    <n v="836240"/>
    <s v="não"/>
    <m/>
    <m/>
    <m/>
    <m/>
    <s v="não"/>
    <s v="leitura caso a caso"/>
    <s v="Fora do indicador: o texto declara furto, roubo ou vandalismo."/>
    <s v="Boa Tarde!Segue SS para instalação de trafo furtado 5700098098 15KVA.Endereço:"/>
    <s v="Boa Tarde! _x000a_Segue SS para instalação de trafo furtado 5700098098 15KVA. _x000a_Endereço: _x000a_ _x000a_ _x000a_TRAFO Nº 5700098098 _x000a_ _x000a_TRAFO INSTALADO  _x000a_ _x000a_POTÊNCIA; 15KVA 34,5KV _x000a_DATA DA FAB; ABRIL/2026 _x000a_MARCA; TRAEL _x000a_Nº CITD; 152213 _x000a_Nº SÉRIE; 836240 _x000a_POS. DO TAP; 3º _x000a_IMPEDÂNCIA; 3,0 _x000a_MEDIÇÃO; 05,19 / 06,48 / 06,02 _x000a_ _x000a_ _x000a_OBS; CHAVE FISIVEL Nº 0300098098 NÃO ESTAVA INSTALADO EM CAMPO CONTUDO FOI INSTALADO 01X CHAVE FUSIVEL 34,5KV NO POSTE ID-46587363. _x000a_ _x000a_FOI INSTALADO 64MT DE CABO 02AWG CAA ENTRE OS PORTES ID-46587364 AO POSTE ID-46587363. _x000a_ _x000a_OBS; CABOS DA REDE TAMBEM FORAM FURTADO."/>
  </r>
  <r>
    <x v="143"/>
    <s v="jun"/>
    <x v="1"/>
    <x v="6"/>
    <s v="EXPURGO"/>
    <x v="3"/>
    <s v="esteira 1.582"/>
    <s v="FURTO"/>
    <n v="5710163053"/>
    <s v="ENC-MLAR05  000312/2026"/>
    <n v="612600604"/>
    <s v="2026-06-08 12:20"/>
    <s v="2026-06-10 15:36"/>
    <s v="FORMS SUBST DE TRANSFORMADOR"/>
    <s v="ETO-RD-AR"/>
    <s v="PIRAQUE"/>
    <s v="FURTADO"/>
    <s v="FURTADO"/>
    <s v="S/N"/>
    <n v="1026211"/>
    <s v="sim"/>
    <m/>
    <m/>
    <s v="CHAVE FUSIVEL/RELIGADORA"/>
    <s v="ELO SUBDIMENSIONADO"/>
    <s v="não"/>
    <s v="leitura caso a caso"/>
    <s v="Fora do indicador: o texto declara furto, roubo ou vandalismo."/>
    <s v="Segue nota para substituiçao  de trafo 5710163053 (Furtado) , chave 34,5 kv, e cabo multiplex Bifasico 25 mm 300 metros de cabo devido o mesmo estar com muitas emendas em campo"/>
    <s v="ETO-RD-AR 952/2026 _x000a_TRAFO INSTALADO _x000a_POTÊNCIA : 15 KVA _x000a_TENSÃO :_x0009_ 34.5 KV _x000a_Nº ENERGISA (CITD) : 149654 _x000a_Nº DE SÉRIE : 1026211 _x000a_MARCA : TRAEL _x000a_DATA FABRICAÇÃO : 07/2026 _x000a_IMPEDANCIA : 2,9 _x000a_POS. TAP : 05 _x000a_"/>
  </r>
  <r>
    <x v="144"/>
    <s v="jun"/>
    <x v="1"/>
    <x v="6"/>
    <s v="EXPURGO"/>
    <x v="3"/>
    <s v="esteira 1.582"/>
    <s v="FURTO"/>
    <n v="5755060004"/>
    <s v="ENC-MLAR02  000114/2026"/>
    <n v="612600628"/>
    <s v="2026-06-18 16:41"/>
    <s v="2026-06-19 12:00"/>
    <s v="FORMS SUBST DE TRANSFORMADOR"/>
    <s v="ETO-RD-AR"/>
    <s v="ARAGUAINA"/>
    <s v="AVARIADO"/>
    <s v="VANDALISMO"/>
    <s v="Z241398"/>
    <m/>
    <s v="não"/>
    <m/>
    <m/>
    <m/>
    <m/>
    <s v="não"/>
    <s v="leitura caso a caso"/>
    <s v="Fora do indicador: o texto declara furto, roubo ou vandalismo — mas o texto presume, não constata."/>
    <s v="Trafo 5755060004  25kva Acesso: livreEquipe:004op03Contato da equipe: 99216-8451Chacara morada do solSinais de vandalismo"/>
    <s v="ETO-RD-AR 991/2026 _x000a_TRAFO  5755060004 _x000a_TRAFO RETIRADO _x000a_POTÊNCIA : 25 KVA _x000a_TENSÃO :_x0009_ 34.5 KV _x000a_Nº ENERGISA (CITD) : 137974 _x000a_Nº DE SÉRIE : Z241398 _x000a_MARCA : ITAM _x000a_DATA FABRICAÇÃO : 09/2023 _x000a_IMPEDANCIA : 3,0 _x000a_POS. TAP : 05 _x000a_ _x000a_TRAFO INSTALADO _x000a_POTÊNCIA : 25 KVA _x000a_TENSÃO :_x0009_ 34.5 KV _x000a_Nº ENERGISA (CITD) : 151010 _x000a_Nº DE SÉRIE : Z303130 _x000a_MARCA : ITAM _x000a_DATA FABRICAÇÃO : 02/2026 _x000a_IMPEDANCIA : 2,73 _x000a_POS. TAP : 05 _x000a_"/>
  </r>
  <r>
    <x v="145"/>
    <s v="jun"/>
    <x v="1"/>
    <x v="6"/>
    <s v="EXPURGO"/>
    <x v="3"/>
    <s v="esteira 1.582"/>
    <s v="FURTO"/>
    <n v="5700809009"/>
    <s v="ENC-MPGR01  000123/2026"/>
    <n v="712600436"/>
    <s v="2026-06-27 12:43"/>
    <s v="2026-06-28 11:45"/>
    <s v="FORMS SUBST DE TRANSFORMADOR"/>
    <s v="ETO-RD-GR"/>
    <s v="GUARAI"/>
    <s v="FURTADO"/>
    <s v="FURTADO"/>
    <s v="0"/>
    <m/>
    <s v="não"/>
    <m/>
    <m/>
    <m/>
    <m/>
    <s v="não"/>
    <s v="leitura caso a caso"/>
    <s v="Fora do indicador: o texto declara furto, roubo ou vandalismo."/>
    <s v="por favor deslocarequipe da manutenção no trafo 5700809009 para instalar trafo em campo tem que leva 01- trafo 15kva 13,8kv 01- para raio 01- chave fusivel 13,8 kv suporte do trafo tem que leva todos os material necessario do trafo para instalar em campo obs- acesso bom caminhonete"/>
    <s v="INSTALAÇÃO DE TRAFO FURTADO 5700809009 ETO-RD-GR 659/2026 ZONA RURAL - GUARAI 0009 _x000a_ _x000a_TRAFO INSTALADO _x000a_POTÊNCIA : 15KVA _x000a_TENSÃO : 7.9KV_x0009_ _x000a_Nº ENERGISA (CITD) : 150806 _x000a_Nº DE SÉRIE : C 303186 _x000a_MARCA : ITAM _x000a_DATA FABRICAÇÃO : 02/2026 _x000a_IMPEDANCIA : 2.44 _x000a_POS. TAP : 03 _x000a_ _x000a_MEDIÇÃO DE ATERRAMENTO: 15.69, 11,38, 06,57 _x000a_ _x000a_COORDENADA _x000a_X: 789116 _x000a_Y: 9019631 _x000a_"/>
  </r>
  <r>
    <x v="146"/>
    <s v="jul"/>
    <x v="1"/>
    <x v="6"/>
    <s v="EXPURGO"/>
    <x v="3"/>
    <s v="leitura do texto (jan–ago)"/>
    <s v="FURTO"/>
    <n v="5700396250"/>
    <s v="DG-MPDG01  000114/2026"/>
    <n v="312600359"/>
    <s v="2026-07-06 18:13"/>
    <s v="2026-07-07 20:00"/>
    <s v="FORMS SUBST DE TRANSFORMADOR"/>
    <s v="DG-RD-PO"/>
    <s v="IPUEIRAS"/>
    <s v="FURTADO"/>
    <s v="FURTADO"/>
    <s v="661260"/>
    <n v="830302"/>
    <s v="sim"/>
    <m/>
    <m/>
    <m/>
    <m/>
    <s v="não"/>
    <s v="leitura caso a caso"/>
    <s v="SS, OS e formulário de campo convergem: transformador furtado na RDR de Ipueiras, inclusive o para-raio. Não há falha do equipamento. Sem conferência na base de interrupção (julho não carregado)."/>
    <s v="Segue SS para atendimento com equipe de manutenção , instalar trafo 5700396250 FURTADO na RDR de impueiras , tensão 34,5 , acesso livre , . para-raio furtado , potencia 15 kva"/>
    <s v="medido_ _x000a_emergencial_ _x000a_ _x000a_ _x000a_substituiçaõ de trafo furtado rdr ipueiras _x000a_"/>
  </r>
  <r>
    <x v="147"/>
    <s v="jul"/>
    <x v="1"/>
    <x v="6"/>
    <s v="EXPURGO"/>
    <x v="3"/>
    <s v="leitura do texto (jan–ago)"/>
    <s v="FURTO"/>
    <n v="5700674080"/>
    <s v="ENC-MLAR03  000089/2026"/>
    <n v="612600685"/>
    <s v="2026-07-10 21:13"/>
    <s v="2026-07-11 17:40"/>
    <s v="FORMS SUBST DE TRANSFORMADOR"/>
    <s v="ETO-RD-AR"/>
    <s v="DARCINOPOLIS"/>
    <s v="FURTADO"/>
    <s v="FURTADO"/>
    <s v="S/N"/>
    <m/>
    <s v="não"/>
    <m/>
    <m/>
    <m/>
    <m/>
    <s v="não"/>
    <s v="leitura caso a caso"/>
    <s v="Transformador furtado; a OS registra apenas a instalação do novo equipamento, sem retirada (retirado S/N). Furto não conta no indicador. Não houve conferência na base de interrupção (julho não carregado)."/>
    <s v="TRAFO FURTADO 5700674080 - 15KVA - 34,5KV + PARA RAIO ACESSO CAMINHONETE. IND FAZENDA PONTAL, 0 - G. MAIOR SOBRADINHO - RAIMUNDO PEREIRA DE CARVALHO - UC 9936238 - 63981012480 - RDR DARCINOPOLIS"/>
    <s v="ETO-RD-A 1089/2026 _x000a_TRAFO INSTALADO _x000a_POTÊNCIA : 15 KVA _x000a_TENSÃO :_x0009_ 34.5 KV _x000a_Nº ENERGISA (CITD) : 151687 _x000a_Nº DE SÉRIE : C 308256 _x000a_MARCA : ITAM _x000a_DATA FABRICAÇÃO : 21/04/2026 _x000a_IMPEDANCIA : 3,02 _x000a_POS. TAP : 05 _x000a_"/>
  </r>
  <r>
    <x v="148"/>
    <s v="jul"/>
    <x v="1"/>
    <x v="6"/>
    <s v="EXPURGO"/>
    <x v="3"/>
    <s v="leitura do texto (jan–ago)"/>
    <s v="FURTO"/>
    <n v="5742109004"/>
    <s v="ENC-MLAR01  000280/2026"/>
    <n v="612600711"/>
    <s v="2026-07-17 11:36"/>
    <s v="2026-07-18 12:00"/>
    <s v="FORMS SUBST DE TRANSFORMADOR"/>
    <s v="ETO-RD-AR"/>
    <s v="ARAGUAINA"/>
    <s v="FURTADO"/>
    <s v="FURTADO"/>
    <s v="S/N"/>
    <m/>
    <s v="não"/>
    <m/>
    <m/>
    <m/>
    <m/>
    <s v="não"/>
    <s v="leitura caso a caso"/>
    <s v="Instalação de transformador em posto cujo equipamento anterior foi furtado (retirado S/N). Não conta no indicador. Não houve conferência na base de interrupção (julho não carregado)."/>
    <s v="Bom dia!Senhores, enviar equipe de manutenção para instalar trafo 5742109004 15kva 34.5kv o antigo foi furtado."/>
    <s v="ETO-RD-AR 1124/2026 _x000a_TRAFO 5742109004 _x000a_TRAFO INSTALADO _x000a_POTÊNCIA : 15 KVA _x000a_TENSÃO :_x0009_ 34.5 KV _x000a_Nº ENERGISA (CITD) : 150836 _x000a_Nº DE SÉRIE : C 303216 _x000a_MARCA : ITAM _x000a_DATA FABRICAÇÃO : 02/2026 _x000a_IMPEDANCIA : 3,10 _x000a_POS. TAP : 05 _x000a_91638 FOI SUBSTITUIDO CHAVE FUSIVEL DO TRAFO 5742109004"/>
  </r>
  <r>
    <x v="149"/>
    <s v="jul"/>
    <x v="1"/>
    <x v="6"/>
    <s v="EXPURGO"/>
    <x v="3"/>
    <s v="leitura do texto (jan–ago)"/>
    <s v="FURTO"/>
    <n v="5700692040"/>
    <s v="ENC-MLAR05  000378/2026"/>
    <n v="612600722"/>
    <s v="2026-07-21 21:51"/>
    <s v="2026-07-22 16:30"/>
    <s v="FORMS SUBST DE TRANSFORMADOR"/>
    <s v="ETO-RD-AR"/>
    <s v="ARAGOMINAS"/>
    <s v="FURTADO"/>
    <s v="FURTADO"/>
    <s v="0"/>
    <m/>
    <s v="não"/>
    <m/>
    <m/>
    <m/>
    <m/>
    <s v="não"/>
    <s v="leitura caso a caso"/>
    <s v="Origem, defeito e formulário de campo registram FURTADO; não há equipamento retirado (NS e tombamento retirado = 0), apenas instalação de trafo de 15 kVA. Não há falha de equipamento. Sem conferência na base de interrupção (julho não carregado)."/>
    <s v="trafo retirado 5700692040 10kva 34.5kvacesso caminhonete"/>
    <s v="ETO-RD-AR 1136/2026 _x000a_TRAFO INSTALADO _x000a_POTÊNCIA : 15 KVA _x000a_TENSÃO :_x0009_ 34.5 KV _x000a_Nº ENERGISA (CITD) : 151676 _x000a_Nº DE SÉRIE : C 308245 _x000a_MARCA : ITAM _x000a_DATA FABRICAÇÃO : 04/2026 _x000a_IMPEDANCIA : 3,04 _x000a_POS. TAP : 05 _x000a_"/>
  </r>
  <r>
    <x v="150"/>
    <s v="jul"/>
    <x v="1"/>
    <x v="6"/>
    <s v="EXPURGO"/>
    <x v="3"/>
    <s v="leitura do texto (jan–ago)"/>
    <s v="FURTO"/>
    <n v="5710069148"/>
    <s v="DBM-MLDB05  000107/2026"/>
    <n v="412600554"/>
    <s v="2026-07-14 16:15"/>
    <s v="2026-07-15 15:00"/>
    <s v="FORMS SUBST DE TRANSFORMADOR"/>
    <s v="ETO-RD-GU"/>
    <s v="SAO VALERIO"/>
    <s v="FURTADO"/>
    <s v="FURTADO"/>
    <s v="70068"/>
    <n v="828004"/>
    <s v="sim"/>
    <m/>
    <m/>
    <m/>
    <m/>
    <s v="não"/>
    <s v="leitura caso a caso"/>
    <s v="Furto do núcleo do transformador, confirmado pela equipe na SS e pelo formulário de campo. Causa externa, não conta no indicador. Não houve conferência na base de interrupção (julho não carregado)."/>
    <s v="Segue SS de trfao 5710069148 furtado para devidas trativas com equipe de manutenção.Tensão 34,5 kvPotencia 10 kvaAcesso livre Para raio bomOBS: equipe informou que foi furtado todo o nucleo do transformador"/>
    <s v="SUBSTITUIÇÃO DE TRANSFORMADOR NA RDR DE SÃO VALERIO _x000a_ _x000a_INT: 20264629600677 _x000a_ _x000a_SS: ETO-RD-GU 714/2026 _x000a_ _x000a_ESPECIFICAÇÕES DO TRANSFORMADOR _x000a_ _x000a_TRANSFORMADOR INSTALADO: 15 KVA _x000a_ _x000a_TRANSFORMADOR RETIRADO: 10 KVA _x000a_ _x000a_OBS:SUBSTITUIÇÃO DE TRANSFORMADOR AUTORIZADA PELO DIONE. _x000a_ _x000a_"/>
  </r>
  <r>
    <x v="151"/>
    <s v="jul"/>
    <x v="1"/>
    <x v="6"/>
    <s v="EXPURGO"/>
    <x v="3"/>
    <s v="leitura do texto (jan–ago)"/>
    <s v="FURTO"/>
    <n v="5719414148"/>
    <s v="DBM-MLDB04  000105/2026"/>
    <n v="412600563"/>
    <s v="2026-07-16 17:11"/>
    <s v="2026-07-24 08:05"/>
    <s v="FORMS SUBST DE TRANSFORMADOR"/>
    <s v="ETO-RD-GU"/>
    <s v="SAO VALERIO"/>
    <s v="FURTADO"/>
    <s v="FURTADO"/>
    <s v="183425"/>
    <n v="1295264"/>
    <s v="sim"/>
    <m/>
    <m/>
    <m/>
    <m/>
    <s v="não"/>
    <s v="leitura caso a caso"/>
    <s v="SS, OS e campo indicam furto do transformador de 30 kVA na RDR de São Valério, com substituição por outro de mesma potência. Não há falha do equipamento. Sem conferência na base de interrupção (julho não carregado)."/>
    <s v="Segue SS de trafo 5719414148 furtado para devidas tratativas com equipe de manutenção.Potencia: 30kvaTensão: 34.5 kvPara raio: queimado acesso livre"/>
    <s v="Segue SS de trafo 5719414148 furtado para devidas tratativas com equipe de manutenção. _x000a_ _x000a_Potencia: 30kva _x000a_Tensão: 34.5 kv _x000a_Para raio: queimado _x000a_ acesso livre _x000a_ _x000a_ _x000a_SUBSTITUIÇÃO DE TRANSFORMADOR NA RDR DE SÃO VALERIO _x000a_ _x000a_INT: 20264638855237 _x000a_ _x000a_SS: ETO-RD-GU 734/2026 _x000a_ _x000a_ESPECIFICAÇÕES DO TRANSFORMADOR _x000a_ _x000a_TRANSFORMADOR INSTALADO: 30 KVA _x000a_ _x000a_TRANSFORMADOR RETIRADO: 30 KVA _x000a_ _x000a_MEDIÇÕES _x000a_ _x000a_LOGO APÓS A TROCA  _x000a_ _x000a_VAN: 224 _x000a_ _x000a_VBN: 288 _x000a_ _x000a_OBS:SUBSTITUIÇÃO DE TRANSFORMADOR AUTORIZADA PELO DIONE. _x000a_"/>
  </r>
  <r>
    <x v="152"/>
    <s v="ago"/>
    <x v="1"/>
    <x v="6"/>
    <s v="EXPURGO"/>
    <x v="3"/>
    <s v="leitura do texto (jan–ago)"/>
    <s v="FURTO"/>
    <n v="5700689043"/>
    <s v="DG-MPDG01  000124/2026"/>
    <n v="312600387"/>
    <s v="2026-08-05 13:53"/>
    <s v="2026-08-06 13:30"/>
    <s v="FORMS SUBST DE TRANSFORMADOR"/>
    <s v="DG-RD-PO"/>
    <s v="SILVANOPOLIS"/>
    <s v="FURTADO"/>
    <s v="FURTADO"/>
    <s v="373335"/>
    <n v="303236"/>
    <s v="sim"/>
    <s v="CAUSADA POR TERCEIROS"/>
    <s v="ROUBO DE TRANSFORMADOR"/>
    <s v="CAUSADA POR TERCEIROS"/>
    <s v="ROUBO DE TRANSFORMADOR"/>
    <s v="não"/>
    <s v="leitura caso a caso"/>
    <s v="Furto confirmado em três fontes: SS, formulário de campo (FURTADO) e Crítica, que casou pelo trafo com causa CAUSADA POR TERCEIROS / ROUBO DE TRANSFORMADOR."/>
    <s v="INT: 20264736828124Segue SS de TR 5700689043 15KVA/19.9KV furtado, para devidas tratativas com equipe de manutenção.Acessom livreUC 11385931FAZENDA ESTREITO11985666120BASILIO DA SILVA GUIMARAES043OP01 99228-0696"/>
    <s v="medido_ _x000a_emergencial_ _x000a_ _x000a_ _x000a_substituição de trafo furtado rdr silvanopolis   _x000a_"/>
  </r>
  <r>
    <x v="153"/>
    <s v="ago"/>
    <x v="1"/>
    <x v="6"/>
    <s v="EXPURGO"/>
    <x v="3"/>
    <s v="leitura do texto (jan–ago)"/>
    <s v="FURTO"/>
    <n v="5701101035"/>
    <s v="DG-MLPO02  000093/2026"/>
    <n v="312600402"/>
    <s v="2026-08-23 14:42"/>
    <s v="2026-08-24 13:05"/>
    <s v="FORMS SUBST DE TRANSFORMADOR"/>
    <s v="DG-RD-PO"/>
    <s v="MONTE DO CARMO"/>
    <m/>
    <m/>
    <s v="170992"/>
    <n v="830283"/>
    <s v="sim"/>
    <s v="CAUSADA POR TERCEIROS"/>
    <s v="ROUBO DE TRANSFORMADOR"/>
    <m/>
    <m/>
    <s v="não"/>
    <s v="leitura caso a caso"/>
    <s v="Trafo de 5 kVA e para-raios furtados; a OS encerra como substituição de trafo furtado e a base confirma com causa CAUSADA POR TERCEIROS e subcausa ROUBO DE TRANSFORMADOR. Não conta no indicador."/>
    <s v="Constatado trafo 5701101035 de 5kVA na 19.9kV e para-raios furtados. Acesso bom para caminhote. Favor agilizar pois o cliente estar com uma OS 798 de ligação nova para o local com vencimento dia 28/08/2026 23:59"/>
    <s v="medido_ _x000a_emergencial_ _x000a_ _x000a_ _x000a_substituição de trafo furtado monte do carmo _x000a_"/>
  </r>
  <r>
    <x v="154"/>
    <s v="ago"/>
    <x v="1"/>
    <x v="6"/>
    <s v="EXPURGO"/>
    <x v="3"/>
    <s v="leitura do texto (jan–ago)"/>
    <s v="FURTO"/>
    <n v="5701343001"/>
    <s v="DG-MLPO02  000095/2026"/>
    <m/>
    <s v="2026-08-27 11:27"/>
    <s v="2026-08-28 16:47"/>
    <s v="AVISO DE ANOMALIA"/>
    <s v="DG-RD-PO"/>
    <s v="PORTO NACIONAL"/>
    <s v="FURTADO"/>
    <s v="FURTADO"/>
    <s v="1023423"/>
    <n v="846107"/>
    <s v="sim"/>
    <m/>
    <m/>
    <m/>
    <m/>
    <s v="não"/>
    <s v="leitura caso a caso"/>
    <s v="Instalação de posto de transformação completo em substituição a trafo furtado; o formulário aponta motivo FURTADO e a observação da ocorrência confirma 'intalar trafo furtado'. A ocorrência associada é manobra de normalização, não falha de transformador."/>
    <s v="Segue SS para atendimento com equipe de manutenção , instalar trafo 5701343001  FURTADO na RDR de porto nacional acesso livre , potencia 15 kva para-raio queiamdo , tensão 13,8 monta posta tranformação completa"/>
    <s v="medido_ _x000a_emergencial_ _x000a_ _x000a_ _x000a_substituição de trafo furtado rdr porto _x000a_"/>
  </r>
  <r>
    <x v="155"/>
    <s v="ago"/>
    <x v="1"/>
    <x v="6"/>
    <s v="EXPURGO"/>
    <x v="3"/>
    <s v="leitura do texto (jan–ago)"/>
    <s v="FURTO"/>
    <n v="5757258006"/>
    <s v="DLP-MPPA01  000268/2026"/>
    <n v="112600739"/>
    <s v="2026-08-06 15:36"/>
    <s v="2026-08-07 17:00"/>
    <s v="FORMS SUBST DE TRANSFORMADOR"/>
    <s v="DOLP-RD-PA"/>
    <s v="TOCANTINIA"/>
    <m/>
    <s v="FURTADO"/>
    <s v="00"/>
    <n v="0"/>
    <s v="não"/>
    <m/>
    <m/>
    <m/>
    <m/>
    <s v="não"/>
    <s v="leitura caso a caso"/>
    <s v="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
    <s v="Trafo Furtao 75kva - 34,5kvAcesso bomRua Joaquim Vieira Vila Jaco"/>
    <s v="MEDIDO_ _x000a_ _x000a_ _x000a_ _x000a_1. Baixado para consumo de material _x000a_ _x000a_Trafo Furtao 75kva - 34,5kv _x000a_ _x000a_Acesso bom _x000a_ _x000a_Rua Joaquim Vieira Vila Jaco _x000a_ _x000a_ _x000a_DADOS DO ATENDIMENTO: _x000a_ _x000a_EQUIPE: 833012 - DLP-MPPA02 _x000a_ENCARREGADO: JULIO IGNACIO _x000a_DATA: 07/08/2026"/>
  </r>
  <r>
    <x v="156"/>
    <s v="ago"/>
    <x v="1"/>
    <x v="6"/>
    <s v="EXPURGO"/>
    <x v="3"/>
    <s v="leitura do texto (jan–ago)"/>
    <s v="FURTO"/>
    <n v="5700600127"/>
    <s v="ENC-MLAG02  000248/2026"/>
    <n v="662600512"/>
    <s v="2026-08-12 08:06"/>
    <s v="2026-08-12 18:02"/>
    <s v="SOLICITAÇÃO DE SERVIÇO"/>
    <s v="ETO-RD-AG"/>
    <s v="PALMEIRAS DO TOCANTINS"/>
    <s v="FURTADO"/>
    <s v="FURTADO"/>
    <s v="NA"/>
    <n v="836239"/>
    <s v="não"/>
    <s v="TRANSFORMADOR"/>
    <s v="VAZAMENTO DE OLEO / TANQUE DETERIORADO"/>
    <m/>
    <m/>
    <s v="não"/>
    <s v="leitura caso a caso"/>
    <s v="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
    <s v="por favor deslocarequipe da manutenção no trafo 5700600127 de 15 kv 19,5 kva subs trafo furtado 01- para raio acesso bom"/>
    <s v="por favor deslocarequipe da manutenção no trafo 5700600127 de 15 kv 19,5 kva subs trafo furtado 01- para raio acesso bom _x000a_ _x000a_ _x000a_ _x000a_ _x000a_TRAFO Nº5700600127 _x000a_ _x000a_TRAFO INSTALADO _x000a_ _x000a_ _x000a_POTÊNCIA; 15KVA 34,5KV _x000a_DATA DE FAB; ABRIL/2026 _x000a_MARCA; TRAEL _x000a_Nº CITD; 152212 _x000a_Nº SÉRIE; 836239 _x000a_POS. DO TAP; 3 _x000a_IMPEDÂNCIA; 3,0 _x000a_MEDIÇÃO; 1,41 / 1,31 / 1,42 _x000a_ _x000a_ _x000a_OBS; SUBST CHAVE FUSIVEL 34,5KV DO TRAFO Nº 5700600127."/>
  </r>
  <r>
    <x v="157"/>
    <s v="ago"/>
    <x v="1"/>
    <x v="6"/>
    <s v="EXPURGO"/>
    <x v="3"/>
    <s v="leitura do texto (jan–ago)"/>
    <s v="FURTO"/>
    <n v="5701748004"/>
    <s v="ENC-MLAR01  000296/2026"/>
    <n v="612600771"/>
    <s v="2026-08-09 13:17"/>
    <s v="2026-08-10 16:25"/>
    <s v="FORMS SUBST DE TRANSFORMADOR"/>
    <s v="ETO-RD-AR"/>
    <s v="ARAGUAINA"/>
    <s v="FURTADO"/>
    <s v="FURTADO"/>
    <s v="0"/>
    <m/>
    <s v="não"/>
    <m/>
    <m/>
    <m/>
    <m/>
    <s v="não"/>
    <s v="leitura caso a caso"/>
    <s v="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
    <s v="Trafo: 5701748004 Furtado Potencia: 5 KVATensão: 34,5KVPara raio: Furtado Acesso: LivreEquipe: 004op18 (63) 99244-3514/99279-6322Obs:. tem que leva grampo estribo e chave fuzivel completa de 34,5 KV"/>
    <s v="ETO-RD-AR 1228/2026 _x000a_TR: 5701748004 _x000a_ _x000a_ _x000a_TRAFO INSTALADO _x000a_POTÊNCIA : 15KVA _x000a_TENSÃO :_x0009_ 34,5KV _x000a_Nº ENERGISA (CITD) : 152571  _x000a_Nº DE SÉRIE : C306312 _x000a_MARCA : ITAM _x000a_DATA FABRICAÇÃO : 07/05/2026 _x000a_IMPEDANCIA : 3,18  _x000a_POS. TAP : 03 _x000a_ _x000a_ _x000a_TRAFO FURTADO "/>
  </r>
  <r>
    <x v="158"/>
    <s v="ago"/>
    <x v="1"/>
    <x v="6"/>
    <s v="EXPURGO"/>
    <x v="3"/>
    <s v="leitura do texto (jan–ago)"/>
    <s v="FURTO"/>
    <n v="5757527004"/>
    <s v="ENC-MLAR02  000208/2026"/>
    <n v="612600831"/>
    <s v="2026-08-26 07:55"/>
    <s v="2026-08-26 11:45"/>
    <s v="AVISO DE ANOMALIA"/>
    <s v="ETO-RD-AR"/>
    <s v="ARAGUAINA"/>
    <s v="FURTADO"/>
    <s v="FURTADO"/>
    <s v="0"/>
    <n v="107461"/>
    <s v="não"/>
    <m/>
    <m/>
    <m/>
    <m/>
    <s v="não"/>
    <s v="leitura caso a caso"/>
    <s v="Instalação de transformador em posto furtado (retirado 0, motivo FURTADO no campo, observação da OS 'INSTALAÇÃO DE TRAFO FURTADO'). Ausente da crítica — falta de registro, mas a causa está clara no texto e não é falha de equipamento."/>
    <s v="Realizar instalação de trafo furtado 5757527004"/>
    <s v="ETO-RD-AR 1307/2026 _x000a_TR: 5757527004 _x000a_ _x000a_ _x000a_ _x000a_ _x000a_TRAFO INSTALADO _x000a_POTÊNCIA : 15KVA  _x000a_TENSÃO :_x0009_ 13,8KV  _x000a_Nº ENERGISA (CITD) : 135521 _x000a_Nº DE SÉRIE : 107461 _x000a_MARCA : TRAEL  _x000a_DATA FABRICAÇÃO : 03/2007 _x000a_IMPEDANCIA : 2,60 _x000a_POS. TAP : 03 _x000a_ _x000a_ _x000a_OBS: INSTALAÇÃO DE TRAFO FURTADO "/>
  </r>
  <r>
    <x v="159"/>
    <s v="ago"/>
    <x v="1"/>
    <x v="6"/>
    <s v="EXPURGO"/>
    <x v="3"/>
    <s v="leitura do texto (jan–ago)"/>
    <s v="FURTO"/>
    <n v="5710471003"/>
    <s v="DBM-MLDB05  000108/2026"/>
    <n v="412600585"/>
    <s v="2026-08-06 10:17"/>
    <s v="2026-08-10 17:34"/>
    <s v="FORMS SUBST DE TRANSFORMADOR"/>
    <s v="ETO-RD-GU"/>
    <s v="GURUPI"/>
    <s v="FURTADO"/>
    <s v="FURTADO"/>
    <s v="12968"/>
    <m/>
    <s v="não"/>
    <m/>
    <m/>
    <m/>
    <m/>
    <s v="não"/>
    <s v="leitura caso a caso"/>
    <s v="Trafo furtado em campo, com fotos enviadas ao supervisor; a OS confirma a substituição por outro de 15 kVA e o campo registra motivo FURTADO. O código não aparece na base de interrupção (ausente da Crítica), o que é falta de registro e não evidência contrária."/>
    <s v="Segue nota para substuiçao de Trafo 5710471003 o mesmo furtado em campo acesso livre tensao 19,9 kv Potencia 15kva as fotos foram enviadas para supervisor de campo"/>
    <s v="SUBSTITUIÇÃO DE TRANSFORMADOR NA RDR DE GURUPI _x000a_ _x000a_INT: 20264740082353 _x000a_ _x000a_SS: ETO-RD-GU 790/2026 _x000a_ _x000a_ESPECIFICAÇÕES DO TRANSFORMADOR _x000a_ _x000a_TRANSFORMADOR INSTALADO: 15 KVA _x000a_ _x000a_TRANSFORMADOR RETIRADO: 15 KVA _x000a_ _x000a_MEDIÇÕES LOHO APÓS A TROCA _x000a_ _x000a_VAN: 222 _x000a_ _x000a_VNB: 444 _x000a_ _x000a_OBS: SUBSTITUIÇÃO DE TRANSFORMADOR AUTORIZADA PELO DIONE.  _x000a_ _x000a_ _x000a_FOI COBRADO MAIS DISPONIBILIDADES SENDO ELAS: _x000a_ _x000a_DIA 07/08 TROCA DE TRAFO NÃO EXECUTADO CABO DE MT FURTADO _x000a_ _x000a_DIA 10/08 SUBSTITUIÇÃO DO TRAFO  _x000a_ _x000a_DIA 12/08 MELHORIA DE ATERRAMENTO "/>
  </r>
  <r>
    <x v="160"/>
    <s v="fev"/>
    <x v="1"/>
    <x v="7"/>
    <s v="EXPURGO"/>
    <x v="4"/>
    <s v="esteira 1.582"/>
    <s v="AUXILIAR DE RELIGADOR"/>
    <n v="5764816091"/>
    <s v="ETO-MLDP02  000028/2026"/>
    <n v="512600061"/>
    <s v="2026-02-04 07:27"/>
    <s v="2026-02-04 11:29"/>
    <s v="FORMS SUBST DE TRANSFORMADOR"/>
    <s v="ETO-RD-DP"/>
    <s v="ALMAS"/>
    <s v="QUEIMADO"/>
    <m/>
    <s v="458600"/>
    <n v="820167"/>
    <s v="sim"/>
    <m/>
    <m/>
    <m/>
    <m/>
    <s v="não"/>
    <s v="leitura caso a caso"/>
    <s v="Fora do indicador: é transformador auxiliar de religador ou regulador, não unidade de distribuição."/>
    <s v="Segundo informações da equipe de campo, o trafo AUXILIAR DO RELIGADOR  5764816091 de 15kVA na tensão 19.9kV e para raio estão queimados."/>
    <s v="Segundo informações da equipe de campo, o trafo AUXILIAR DO RELIGADOR  5764816091 de 15kVA na tensão 19.9kV e para raio estão queimados."/>
  </r>
  <r>
    <x v="161"/>
    <s v="abr"/>
    <x v="2"/>
    <x v="8"/>
    <s v="EXPURGO"/>
    <x v="1"/>
    <s v="esteira 1.582"/>
    <s v="DIVISÃO DE CIRCUITO"/>
    <n v="5700354122"/>
    <s v="DLP-CTPA00  000064/2026"/>
    <n v="112600384"/>
    <s v="2026-04-08 14:47"/>
    <s v="2026-04-08 18:00"/>
    <s v="FORMS SUBST DE TRANSFORMADOR"/>
    <s v="DOLP-RD-PA"/>
    <s v="PALMAS"/>
    <s v="AVARIADO"/>
    <s v="VAZAMENTO DE ÓLEO"/>
    <s v="0"/>
    <n v="0"/>
    <s v="não"/>
    <m/>
    <m/>
    <m/>
    <m/>
    <s v="SIM"/>
    <s v="leitura caso a caso"/>
    <s v="Fora do indicador: o texto declara divisão de circuito — é obra de capacidade, entra como preventivo."/>
    <s v="Transformador com vazamento de oleo grande proporção 5764409122 feito divisão de circuito recente com 5700354122, potencia 112kva, tensão 13.8, acesso livre a caminhao, para raio bom."/>
    <s v="MEDIDO_ _x000a_ _x000a_01. Baixado para consumo de material _x000a_ _x000a_Transformador com vazamento de oleo grande proporção 5764409122 feito divisão de circuito recente com 5700354122, potencia 112kva, tensão 13.8, acesso livre a caminhao, para raio bom. _x000a_ _x000a_DADOS DO ATENDIMENTO: _x000a_DOLP-RD-PA 429/2026 _x000a_EQUIPE: 833019 - DOLP-CT-PA 07 _x000a_ENCARREGADO: REGINALDO DE OLIVEIRA _x000a_DATA: 08/04/2026"/>
  </r>
  <r>
    <x v="162"/>
    <s v="jun"/>
    <x v="2"/>
    <x v="8"/>
    <s v="EXPURGO"/>
    <x v="5"/>
    <s v="esteira 1.582"/>
    <s v="DIVISÃO DE CIRCUITO"/>
    <n v="5700623004"/>
    <s v="ENC-MLAR01  000235/2026"/>
    <n v="612600596"/>
    <s v="2026-06-08 07:42"/>
    <s v="2026-06-08 17:55"/>
    <s v="AVISO DE ANOMALIA"/>
    <s v="ETO-RD-AR"/>
    <s v="ARAGUAINA"/>
    <s v="SOBRECARGA PREVENTIVA"/>
    <m/>
    <s v="S/N"/>
    <n v="1667706"/>
    <s v="sim"/>
    <m/>
    <m/>
    <s v="CAUSA NAO IDENTIFICADA"/>
    <s v="CAUSA NAO IDENTIFICADA - ESPECIFICAR"/>
    <s v="não"/>
    <s v="leitura caso a caso"/>
    <s v="Fora do indicador: o texto declara divisão de circuito — é obra de capacidade, entra como preventivo."/>
    <s v="Divisão de circuito emergencial 5700623004 138% de carregamento"/>
    <s v="ETO-RD-AR 951/2026 _x000a_DIVISÃO DE CIRCUITO DO TRAFO 5700623004 _x000a_ _x000a_TRAFO INSTALADO _x000a_POTÊNCIA : 112.5 KVA _x000a_TENSÃO :_x0009_ 13.8 KV _x000a_Nº ENERGISA (CITD) : 150686 _x000a_Nº DE SÉRIE : 1667706 _x000a_MARCA : ROMAGNOLE _x000a_DATA FABRICAÇÃO : 02/2026 _x000a_IMPEDANCIA : 3,61 _x000a_POS. TAP : 04 _x000a_ _x000a_INSTALADO PLACA DE TOPOLOGIA Nª 67237. _x000a_TRAFO INSTALADO NO POSTE ID 63114972 _x000a_ _x000a_"/>
  </r>
  <r>
    <x v="163"/>
    <s v="jul"/>
    <x v="2"/>
    <x v="8"/>
    <s v="EXPURGO"/>
    <x v="6"/>
    <s v="leitura do texto (jan–ago)"/>
    <s v="DIVISÃO DE CIRCUITO"/>
    <n v="5720015066"/>
    <s v="ENC-MPGR01  000147/2026"/>
    <n v="712600460"/>
    <s v="2026-07-14 11:19"/>
    <s v="2026-07-14 17:30"/>
    <s v="AVISO DE ANOMALIA"/>
    <s v="ETO-RD-GR"/>
    <s v="TUPIRATINS"/>
    <m/>
    <m/>
    <s v="0"/>
    <m/>
    <s v="não"/>
    <m/>
    <m/>
    <m/>
    <m/>
    <s v="não"/>
    <s v="leitura caso a caso"/>
    <s v="Instalação de posto de transformação novo em divisão de circuito: não houve equipamento retirado (NS e tombamento retirado = 0), apenas trafo de 25 kVA instalado. Não há falha de equipamento."/>
    <s v="Divisão de circuito emergencial do trafo 5720015066"/>
    <s v="INSTALAÇÃO DE POSTO DE TRANSFORMAÇÃO EM NOVA DIVISÃO DE CIRCUITO ETO-RD-GR 720/2026 ZONA URBANA - TUPIRATINS 0066 _x000a_ _x000a_TRAFO INSTALADO _x000a_POTÊNCIA : 25KVA _x000a_TENSÃO : 19.9KV_x0009_ _x000a_Nº ENERGISA (CITD) : 151765 _x000a_Nº DE SÉRIE : Z 308332 _x000a_MARCA : ITAM _x000a_DATA FABRICAÇÃO : 04/2026 _x000a_IMPEDANCIA : 2.78 _x000a_POS. TAP : 03 _x000a_ _x000a_MEDIÇÃO 1: 13.74 _x000a_MEDIÇÃO 2: 09.97 _x000a_MEDIÇÃO 3: 05.93 _x000a_ _x000a_COORDENADA _x000a_X: 816827 _x000a_Y: 9072112 _x000a_"/>
  </r>
  <r>
    <x v="164"/>
    <s v="ago"/>
    <x v="2"/>
    <x v="8"/>
    <s v="EXPURGO"/>
    <x v="7"/>
    <s v="leitura do texto (jan–ago)"/>
    <s v="DIVISÃO DE CIRCUITO"/>
    <n v="5704168004"/>
    <s v="ENC-MPAR01  000066/2026"/>
    <n v="612600766"/>
    <s v="2026-08-05 16:32"/>
    <s v="2026-08-06 11:57"/>
    <s v="AVISO DE ANOMALIA"/>
    <s v="ETO-RD-AR"/>
    <s v="ARAGUAINA"/>
    <s v="SOBRECARGA PREVENTIVA"/>
    <m/>
    <s v="0"/>
    <n v="362814"/>
    <s v="não"/>
    <m/>
    <m/>
    <m/>
    <m/>
    <s v="não"/>
    <s v="leitura caso a caso"/>
    <s v="Instalação de trafo novo de 75 kVA para dividir o circuito do trafo 5747384004; não houve retirada de equipamento avariado (retirado 0). A ocorrência associada na base é desligamento sem programação prévia aberto para atender a própria SS, não falha de transformador."/>
    <s v="INSTALAÇÃO DE TRAFO DE 75 PARA DIVISÃO DE CIRCUITO"/>
    <s v="ETO-RD-AR 1211/2026 _x000a_TR: 5747384004 _x000a_  _x000a_ _x000a_TRAFO INSTALADO _x000a_POTÊNCIA : 75KVA  _x000a_TENSÃO :_x0009_ 13,8KV _x000a_Nº ENERGISA (CITD) : 130375  _x000a_Nº DE SÉRIE :  362814 _x000a_MARCA : TRAEL _x000a_DATA FABRICAÇÃO : 01/2022  _x000a_IMPEDANCIA : 3,36 _x000a_POS. TAP : 02 _x000a_90063 _x000a_FOI  INSTALADO UM TRAFO DE 75 KVA 13.8 KV ID- 74889104.TUPOLOGIA:04163 PARA FAZER DIVISAO DE CIRCUITO DO TRAFO 5747384004 _x000a_ _x000a_ _x000a_INSTALADO 03 CHAVE FUSIVEL 13,8KV DO TRAFO INSTALADO ID- 74889104 ESTRUTURA N1 _x000a_N° topologia: 04163 _x000a_"/>
  </r>
  <r>
    <x v="165"/>
    <s v="ago"/>
    <x v="2"/>
    <x v="9"/>
    <s v="EXPURGO"/>
    <x v="0"/>
    <s v="leitura do texto (jan–ago)"/>
    <s v="MELHORIA DE POSTO"/>
    <n v="5700020047"/>
    <s v="DBM-MLDB04  000125/2026"/>
    <n v="412600633"/>
    <s v="2026-08-31 12:44"/>
    <s v="2026-09-02 09:36"/>
    <s v="FORMS SUBST DE TRANSFORMADOR"/>
    <s v="ETO-RD-GU"/>
    <s v="FIGUEIROPOLIS"/>
    <s v="QUEIMADO"/>
    <s v="NÃO IDENTIFICADO"/>
    <s v="9685850"/>
    <n v="1697622"/>
    <s v="sim"/>
    <s v="DESLIGAMENTO SEM PROGRAMACAO PREVIA"/>
    <s v="RD DE AT"/>
    <s v="TRANSFORMADOR"/>
    <s v="SOBRECARGA"/>
    <s v="SIM"/>
    <s v="leitura caso a caso"/>
    <s v="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
    <s v="Segue nota para substuiçao de trafo queimado 5700020047 Acesso livre trafo de 112,5 kv tensao 13,8 kv"/>
    <s v="SUBSTITUIÇÃO DE TRANSFORMADOR NA RDR DE ARAGUAÇU _x000a_ _x000a_INT: 20264857632228 _x000a_ _x000a_SS: ETO-RD-GU 853/2026 _x000a_ _x000a_ESPECIFICAÇÕES DO TRANSFORMADOR _x000a_ _x000a_TRANSFORMADOR INSTALADO:  150 KVA _x000a_ _x000a_TRANSFORMADOR RETIRADO: 112,5 KVA _x000a_ _x000a_ _x000a_OBS:SUBSTITUIÇÃO DE TRANSFORMADOR AUTORIZADA PELO DIONE. _x000a_"/>
  </r>
  <r>
    <x v="166"/>
    <s v="jan"/>
    <x v="2"/>
    <x v="10"/>
    <s v="EXPURGO"/>
    <x v="0"/>
    <s v="esteira 1.582"/>
    <s v="PREVENTIVO/PROGRAMADO"/>
    <n v="5710080031"/>
    <s v="ENC-MLGR02  000016/2026"/>
    <n v="212600097"/>
    <s v="2026-01-18 09:35"/>
    <s v="2026-01-19 14:50"/>
    <s v="FORMS SUBST DE TRANSFORMADOR"/>
    <s v="ENC-RD-PS"/>
    <s v="RIO DOS BOIS"/>
    <s v="QUEIMADO"/>
    <s v="DESCARGA ATMOSFÉRICA"/>
    <s v="078071"/>
    <n v="820248"/>
    <s v="sim"/>
    <s v="TRANSFORMADOR"/>
    <s v="QUEIMADO POR DESCARGA ATMOSFERICA"/>
    <s v="TRANSFORMADOR"/>
    <s v="QUEIMADO POR DESCARGA ATMOSFERICA"/>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 5710080031 TR DE 15 KVA ACESSO LIVRE PARA RAIO BOMREDE : 34,5 KVUC: 8/767068-0AILTON LOPES LOURENCO"/>
    <s v="SS ENC-RD-PS 95/2026  _x000a_TRAFO 5710080031 _x000a_ _x000a_ _x000a_TRAFO RETIRADO _x000a_POTÊNCIA : 10KVA _x000a_TENSÃO : 34.5KV_x0009_ _x000a_Nº ENERGISA (CITD) : ILEGIVEL _x000a_Nº DE SÉRIE : 078071 _x000a_MARCA : TRAEL _x000a_DATA FABRICAÇÃO : 03/2006 _x000a_IMPEDANCIA : 2.91 _x000a_POS. TAP : 01 _x000a_ _x000a_TRAFO INSTALADO _x000a_POTÊNCIA : 15KVA _x000a_TENSÃO : 34.5KV_x0009_ _x000a_Nº ENERGISA (CITD) : 149262 _x000a_Nº DE SÉRIE : 820248 _x000a_MARCA : TRAEL _x000a_DATA FABRICAÇÃO : 11/2026 _x000a_IMPEDANCIA : 3.0 _x000a_POS. TAP : 01 _x000a_ _x000a_ _x000a_"/>
  </r>
  <r>
    <x v="167"/>
    <s v="jan"/>
    <x v="2"/>
    <x v="10"/>
    <s v="EXPURGO"/>
    <x v="7"/>
    <s v="esteira 1.582"/>
    <s v="PREVENTIVO/PROGRAMADO"/>
    <n v="5700328119"/>
    <s v="ENC-MPAG02  000003/2026"/>
    <n v="662600030"/>
    <s v="2026-01-05 17:28"/>
    <s v="2026-01-06 16:35"/>
    <s v="AVISO DE ANOMALIA"/>
    <s v="ETO-RD-AG"/>
    <s v="SAO BENTO DO TOCANTINS"/>
    <s v="AVARIADO"/>
    <s v="SOBRECARGA"/>
    <s v="128834"/>
    <n v="289657"/>
    <s v="sim"/>
    <m/>
    <m/>
    <m/>
    <m/>
    <s v="não"/>
    <s v="leitura caso a caso"/>
    <s v="Fora do indicador: a SS está gravada no sistema como preventivo."/>
    <s v="Enviarequipe da manutenção para substiyuir trafo de 5 kva por um de 15 kva , na 13,8 kv Acesso bom"/>
    <s v="Enviarequipe da manutenção para substiyuir trafo de 5 kva por um de 15 kva , na 13,8 kv Acesso bom _x000a_ _x000a_ _x000a_TRAFO RETIRADO  _x000a_ _x000a_POTÊNCIA; 05KVA 13.8KV _x000a_DATA DE FAB; AGOSTO/2008 _x000a_MARCA; VIJAI _x000a_Nº CITD; N/A _x000a_Nº SÉRIE; 128834 _x000a_IMPEDÂNCIA; 2,48 _x000a_ _x000a_TRAFO INSTALADO  _x000a_ _x000a_POTÊNCIA; 15KVA 13.8KV _x000a_DATA DE FAB; 09/2025 _x000a_MARCA; ITAM _x000a_Nº CITD; 148493 _x000a_Nº SÉRIE; 289657 _x000a_IMPEDÂNCIA; 2,58 _x000a_MEDIÇÃO;  05,19/ 06,48 / 06,02"/>
  </r>
  <r>
    <x v="168"/>
    <s v="jan"/>
    <x v="2"/>
    <x v="10"/>
    <s v="EXPURGO"/>
    <x v="0"/>
    <s v="esteira 1.582"/>
    <s v="PREVENTIVO/PROGRAMADO"/>
    <n v="5701104022"/>
    <s v="ENC-MLAR01  000049/2026"/>
    <n v="612600049"/>
    <s v="2026-01-08 09:56"/>
    <s v="2026-01-08 23:52"/>
    <s v="FORMS SUBST DE TRANSFORMADOR"/>
    <s v="ETO-RD-AR"/>
    <s v="BABACULANDIA"/>
    <s v="QUEIMADO"/>
    <s v="DESCARGA ATMOSFÉRICA"/>
    <s v="671932"/>
    <n v="670010"/>
    <s v="sim"/>
    <s v="TRANSFORMADOR"/>
    <s v="QUEIMADO POR CAUSA NAO IDENTIFICADA"/>
    <s v="TRANSFORMADOR"/>
    <s v="QUEIMADO POR CAUSA NAO IDENTIFICADA"/>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afo 5701104022 15 kva Tensão: 19.9Acesso: somente para caminhoneteEquipe: 022op02Contato da equipe: 99218-9180Endereço: IND FAZENDA BOM SUSSEGO"/>
    <s v="ETO-RD-AR 33/2026 _x000a_TRAFO RETIRADO _x000a_POTÊNCIA : 5 KVA _x000a_TENSÃO :_x0009_ 34.5 KV _x000a_Nº ENERGISA (CITD) : 38892 _x000a_Nº DE SÉRIE : 671932 _x000a_MARCA : ITB _x000a_DATA FABRICAÇÃO : 05/2010 _x000a_IMPEDANCIA : 2,88 _x000a_POS. TAP : 05 _x000a_ _x000a_TRAFO INSTALADO _x000a_POTÊNCIA : 15 KVA _x000a_TENSÃO :_x0009_ 34.5 KV _x000a_Nº ENERGISA (CITD) : 134327 _x000a_Nº DE SÉRIE : 670010 _x000a_MARCA : CPFL _x000a_DATA FABRICAÇÃO : 2022 _x000a_IMPEDANCIA : 3,15 _x000a_POS. TAP : 05 _x000a_"/>
  </r>
  <r>
    <x v="169"/>
    <s v="jan"/>
    <x v="2"/>
    <x v="10"/>
    <s v="EXPURGO"/>
    <x v="0"/>
    <s v="esteira 1.582"/>
    <s v="PREVENTIVO/PROGRAMADO"/>
    <n v="5710357058"/>
    <s v="ENC-MLAR05  000062/2026"/>
    <n v="612600113"/>
    <s v="2026-01-28 21:40"/>
    <s v="2026-01-29 19:40"/>
    <s v="FORMS SUBST DE TRANSFORMADOR"/>
    <s v="ETO-RD-AR"/>
    <s v="SANTA FE DO ARAGUAIA"/>
    <s v="AVARIADO"/>
    <s v="BUCHA DANIFICADA"/>
    <s v="463538"/>
    <n v="586784"/>
    <s v="sim"/>
    <s v="TRANSFORMADOR"/>
    <s v="QUEIMADO POR CAUSA NAO IDENTIFICADA"/>
    <m/>
    <m/>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afo: 5710357058  45kvaTensão: 34,5Acesso: Livre para caminhão e caminhoneteEquipe: 040op36Contato da equipe: 99248-4163Endereço: IND FAZENDA SANTA MARTA, 0 - FAZ. SANTA MARTA"/>
    <s v="ETO-RD-AR 172/2026 _x000a_TR: 5710357058 _x000a_ _x000a_TRAFO RETIRADO _x000a_POTÊNCIA : 30KVA _x000a_TENSÃO :_x0009_ 34,5KV _x000a_Nº ENERGISA (CITD) : ILEGIVEL _x000a_Nº DE SÉRIE : 463538 _x000a_MARCA : TRAEL _x000a_DATA FABRICAÇÃO : 03/2018 _x000a_IMPEDANCIA : 4,00 _x000a_POS. TAP : 02 _x000a_ _x000a_TRAFO INSTALADO _x000a_POTÊNCIA : 45KVA _x000a_TENSÃO :_x0009_ 34,5KV _x000a_Nº ENERGISA (CITD) : 147747 _x000a_Nº DE SÉRIE : 586784 _x000a_MARCA : ITAIPU _x000a_DATA FABRICAÇÃO : 07/2025 _x000a_IMPEDANCIA : 3,97 _x000a_POS. TAP : 01 _x000a_"/>
  </r>
  <r>
    <x v="170"/>
    <s v="fev"/>
    <x v="2"/>
    <x v="10"/>
    <s v="EXPURGO"/>
    <x v="7"/>
    <s v="esteira 1.582"/>
    <s v="PREVENTIVO/PROGRAMADO"/>
    <n v="5701990039"/>
    <s v="ETO-RD-AG  000157/2026"/>
    <n v="662600140"/>
    <s v="2026-02-24 13:10"/>
    <s v="2026-02-24 22:44"/>
    <s v="AVISO DE ANOMALIA"/>
    <s v="ETO-RD-AG"/>
    <s v="ARAGUATINS"/>
    <s v="SOBRECARGA PREVENTIVA"/>
    <s v="SOBRECARGA"/>
    <m/>
    <m/>
    <s v="não"/>
    <m/>
    <m/>
    <m/>
    <m/>
    <s v="não"/>
    <s v="leitura caso a caso"/>
    <s v="Fora do indicador: a SS está gravada no sistema como preventivo."/>
    <s v="Nota para manutenção substituir trafo 5701990039 de 15KVA na 19.9KV Trafo do Assentamento Palmares na RDR de Araguatins- MD N5-2645782-12,Acesso livre  equipe 039OP05 999755330"/>
    <s v="PLANO DE MEDIDA - Realizar substituição do trafo 5701990039- TRAFO DE 15KVA POR TRAFO DE 25KVA."/>
  </r>
  <r>
    <x v="171"/>
    <s v="mar"/>
    <x v="2"/>
    <x v="10"/>
    <s v="EXPURGO"/>
    <x v="0"/>
    <s v="esteira 1.582"/>
    <s v="PREVENTIVO/PROGRAMADO"/>
    <n v="5703603122"/>
    <s v="DLP-MLPA01  000093/2026"/>
    <n v="112600313"/>
    <s v="2026-03-22 10:59"/>
    <s v="2026-03-22 17:30"/>
    <s v="FORMS SUBST DE TRANSFORMADOR"/>
    <s v="DOLP-RD-PA"/>
    <s v="PALMAS"/>
    <s v="QUEIMADO"/>
    <s v="DESCARGA ATMOSFÉRICA"/>
    <s v="449517"/>
    <n v="1588041"/>
    <s v="sim"/>
    <s v="TRANSFORMADOR"/>
    <s v="QUEIMADO POR DESCARGA ATMOSFERICA"/>
    <s v="TRANSFORMADOR"/>
    <s v="QUEIMADO POR DESCARGA ATMOSFERICA"/>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segue nota de trafo, trafo 5703603122, trafo de 15 kva, tensao 34500 / 440 V, para raio danificado, acesso somente para caminhonete, obs trafo fica um distancia de 300 metros"/>
    <s v="MEDIDO_ _x000a_ _x000a_EMERGENCIAL_ _x000a_ _x000a_segue nota de trafo, trafo 5703603122, trafo de 15 kva, tensao 34500 / 440 V, para raio danificado, acesso somente para caminhonete, obs trafo fica um distancia de 300 metros _x000a_ _x000a_DADOS ATENDIMENTO _x000a_ _x000a_N° DOCUMENTO SS: DOLP-RD-PA 000369/2026 _x000a_N° DOCUMENTO OS: DLP-MLPA01 000093/2026 _x000a_ _x000a_TIPO DA INTERVENÇÃO: MANUTENÇÃO _x000a_TIPO DO SERVIÇO: SUBSTITUIÇÃO DE TRANSFORMADOR E MELHORIA DE MALHA DE ATERRAMENTO _x000a_DATA PROGRAMADA DA ATIVIDADE: 23/03/2026 À 24/03/2026 _x000a_HORARIO PREVISTO DA ATIVIDADE: 08:00 ÀS 18:00 _x000a_CIDADE: SANTA TEREZA ALIMENTADOR: LD02059122 _x000a_ _x000a_EQUIPE: DOLP-MLPA01 _x000a_CON"/>
  </r>
  <r>
    <x v="172"/>
    <s v="abr"/>
    <x v="2"/>
    <x v="10"/>
    <s v="EXPURGO"/>
    <x v="7"/>
    <s v="esteira 1.582"/>
    <s v="PREVENTIVO/PROGRAMADO"/>
    <n v="5706792122"/>
    <s v="DLP-CTPA00  000077/2026"/>
    <n v="112600717"/>
    <s v="2026-04-23 16:04"/>
    <s v="2026-04-24 18:00"/>
    <s v="SOLICITAÇÃO DE SERVIÇO"/>
    <s v="DOLP-RD-PA"/>
    <s v="PALMAS"/>
    <m/>
    <s v="NÃO IDENTIFICADO"/>
    <s v="0"/>
    <n v="0"/>
    <s v="não"/>
    <m/>
    <m/>
    <m/>
    <m/>
    <s v="não"/>
    <s v="leitura caso a caso"/>
    <s v="Fora do indicador: a SS está gravada no sistema como preventivo."/>
    <s v="Topologia 06792 trocar transformador de 112,5 kVA para 150 KVA. Fazer saída com CABO 120MM e dupla os perfurantes da BT."/>
    <s v="MEDIDO_ _x000a_ _x000a_ _x000a_01. Baixado para consumo de material _x000a_ _x000a_Topologia 06792 trocar transformador de 112,5 kVA para 150 KVA. Fazer saída com CABO 120MM e dupla os perfurantes da BT. _x000a_ _x000a_DADOS DO ATENDIMENTO:  _x000a_EQUIPE: 833019 _x000a_ENCARREGADO: REGINALDO OLIVEIRA _x000a_DATA: 24/04/2026"/>
  </r>
  <r>
    <x v="173"/>
    <s v="abr"/>
    <x v="2"/>
    <x v="10"/>
    <s v="EXPURGO"/>
    <x v="1"/>
    <s v="esteira 1.582"/>
    <s v="PREVENTIVO/PROGRAMADO"/>
    <n v="5731651122"/>
    <s v="DLP-CTPA00  000076/2026"/>
    <n v="112600523"/>
    <s v="2026-04-23 16:59"/>
    <s v="2026-04-24 18:00"/>
    <s v="SOLICITAÇÃO DE SERVIÇO"/>
    <s v="DOLP-RD-PA"/>
    <s v="PALMAS"/>
    <m/>
    <s v="VAZAMENTO DE ÓLEO"/>
    <s v="650536"/>
    <n v="1672875"/>
    <s v="sim"/>
    <m/>
    <m/>
    <m/>
    <m/>
    <s v="não"/>
    <s v="leitura caso a caso"/>
    <s v="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
    <s v="Topologia 31651 substituir Trafo devido esta com vazamento de óleo "/>
    <s v="MEDIDO_ _x000a_ _x000a_EMERGENCIAL_ _x000a_ _x000a_Topologia 31651 substituir Trafo devido esta com vazamento de óleo  _x000a_ _x000a_ _x000a_DADOS DO ATENDIMENTO:  _x000a_EQUIPE: 833019 _x000a_ENCARREGADO: REGINALDO OLIVEIRA _x000a_DATA: 24/04/2026"/>
  </r>
  <r>
    <x v="174"/>
    <s v="mai"/>
    <x v="2"/>
    <x v="10"/>
    <s v="EXPURGO"/>
    <x v="1"/>
    <s v="esteira 1.582"/>
    <s v="PREVENTIVO/PROGRAMADO"/>
    <n v="5700105132"/>
    <s v="ETO-RD-AG  000430/2026"/>
    <n v="662600304"/>
    <s v="2026-05-13 07:19"/>
    <s v="2026-05-13 10:16"/>
    <s v="AVISO DE ANOMALIA"/>
    <s v="ETO-RD-AG"/>
    <s v="SAMPAIO"/>
    <s v="SOBRECARGA PREVENTIVA"/>
    <m/>
    <m/>
    <m/>
    <s v="não"/>
    <m/>
    <m/>
    <m/>
    <m/>
    <s v="não"/>
    <s v="leitura caso a caso"/>
    <s v="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
    <s v="Enviar equipe de manutenção para substituir trafo com vazamento de oleo na bucha secundária fase A - TRAFO 5700105132 - 5KVA-19.9KV"/>
    <s v="PLANO DE MEDIDA - Realizar substituição do trafo 5700105132 de 5 kVA para 15 kVA  - Direcionar serviço para projeto SIGCO 25983."/>
  </r>
  <r>
    <x v="175"/>
    <s v="mai"/>
    <x v="2"/>
    <x v="10"/>
    <s v="EXPURGO"/>
    <x v="0"/>
    <s v="esteira 1.582"/>
    <s v="PREVENTIVO/PROGRAMADO"/>
    <n v="5700017265"/>
    <s v="ENC-MLAR03  000078/2026"/>
    <n v="612600494"/>
    <s v="2026-05-09 09:46"/>
    <s v="2026-05-09 18:55"/>
    <s v="FORMS SUBST DE TRANSFORMADOR"/>
    <s v="ETO-RD-AR"/>
    <s v="BARRA DO OURO"/>
    <s v="AVARIADO"/>
    <s v="BUCHA DANIFICADA"/>
    <s v="1782636"/>
    <n v="828172"/>
    <s v="sim"/>
    <s v="TRANSFORMADOR"/>
    <s v="FALHA BUCHA DE BT"/>
    <m/>
    <m/>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ansformador 5700017265 pegou fogo na bucha secundaria e danificou a msma.povoado morro grande verificar possibilidade de colocar um de potencia maior.(obs) Levar cabo pirastique equipe 265op01"/>
    <s v="ETO-RD-AR 820/2026 _x000a_TRAFO 5700017265 _x000a_TRAFO RETIRADO _x000a_POTÊNCIA : 25 KVA _x000a_TENSÃO :_x0009_ 34.5 KV _x000a_Nº ENERGISA (CITD) : 104365 _x000a_Nº DE SÉRIE : 1782636 _x000a_MARCA : ITB _x000a_DATA FABRICAÇÃO : 05/2007 _x000a_IMPEDANCIA : 3,1 _x000a_POS. TAP : 05 _x000a_ _x000a_TRAFO INSTALADO _x000a_POTÊNCIA : 25 KVA _x000a_TENSÃO :_x0009_ 34.5 KV _x000a_Nº ENERGISA (CITD) : 150449 _x000a_Nº DE SÉRIE : 828172 _x000a_MARCA : TRAEL _x000a_DATA FABRICAÇÃO : 02/2026 _x000a_IMPEDANCIA : 3,0 _x000a_POS. TAP : 05 _x000a_"/>
  </r>
  <r>
    <x v="176"/>
    <s v="jun"/>
    <x v="2"/>
    <x v="10"/>
    <s v="EXPURGO"/>
    <x v="1"/>
    <s v="esteira 1.582"/>
    <s v="PREVENTIVO/PROGRAMADO"/>
    <n v="5706190122"/>
    <s v="DLP-CTPA00  000110/2026"/>
    <n v="112600637"/>
    <s v="2026-06-19 09:03"/>
    <s v="2026-06-19 18:00"/>
    <s v="FORMS SUBST DE TRANSFORMADOR"/>
    <s v="DOLP-RD-PA"/>
    <s v="PALMAS"/>
    <s v="AVARIADO"/>
    <s v="VAZAMENTO DE ÓLEO"/>
    <s v="106534"/>
    <n v="1648754"/>
    <s v="sim"/>
    <m/>
    <m/>
    <m/>
    <m/>
    <s v="SIM"/>
    <s v="leitura caso a caso"/>
    <s v="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
    <s v="Trafo 5706190122 com vazamento de oleo,não visível na viabilidade feito pela equipe de linha viva, necessario executar a troca do mesmoPotencia: 75 KVATensão: 13800/380VElo: 3H"/>
    <s v="MEDIDO_ _x000a_ _x000a_EMERGENCIAL_ _x000a_ _x000a_ATIVO: 190.02359706 _x000a_LOCALIZAÇÃO: 190-13718340 _x000a_ _x000a_Trafo 5706190122 com vazamento de oleo,não visível na viabilidade feito pela equipe de linha viva, necessario executar a troca do mesmo _x000a_ _x000a_Potencia: 75 KVA _x000a_Tensão: 13800/380V _x000a_Elo: 3H _x000a_ _x000a_DADOS DO ATENDIMENTO: _x000a_ _x000a_EQUIPE: 833014 _x000a_ENCARREGADO: GENIVAL RODRIGUES _x000a_DATA: 19/06/2026"/>
  </r>
  <r>
    <x v="177"/>
    <s v="jun"/>
    <x v="2"/>
    <x v="10"/>
    <s v="EXPURGO"/>
    <x v="7"/>
    <s v="esteira 1.582"/>
    <s v="PREVENTIVO/PROGRAMADO"/>
    <n v="5766833004"/>
    <s v="ENC-MLAR05  000332/2026"/>
    <n v="612600619"/>
    <s v="2026-06-16 16:56"/>
    <s v="2026-06-16 22:13"/>
    <s v="AVISO DE ANOMALIA"/>
    <s v="ETO-RD-AR"/>
    <s v="ARAGUAINA"/>
    <m/>
    <m/>
    <s v="599374"/>
    <n v="441007"/>
    <s v="sim"/>
    <m/>
    <m/>
    <m/>
    <m/>
    <s v="não"/>
    <s v="leitura caso a caso"/>
    <s v="Fora do indicador: a SS está gravada no sistema como preventivo."/>
    <s v="Instalar P600 no trafo 5766833004 e ajudar na abertura para remanejamentos de UC´s do trafo"/>
    <s v="ETO-RD-AR 986/2026 _x000a_TRAFO 5766833004 _x000a_TRAFO RETIRADO _x000a_POTÊNCIA : 75 KVA _x000a_TENSÃO :_x0009_ 13.8 KV _x000a_Nº ENERGISA (CITD) : 149050 _x000a_Nº DE SÉRIE : 599374 _x000a_MARCA : ITAIPU _x000a_DATA FABRICAÇÃO : 11/2025 _x000a_IMPEDANCIA : 3,62 _x000a_POS. TAP : 04 _x000a_ _x000a_TRAFO INSTALADO _x000a_POTÊNCIA : 112,5 KVA _x000a_TENSÃO :_x0009_ 13.8 KV _x000a_Nº ENERGISA (CITD) : 107341 _x000a_Nº DE SÉRIE : 441007 _x000a_MARCA : TRAEL _x000a_DATA FABRICAÇÃO : 08/2017 _x000a_IMPEDANCIA : 3,53 _x000a_POS. TAP : 04 _x000a_ _x000a_OBS: ISTALADO EQUIPAMENTO P600."/>
  </r>
  <r>
    <x v="178"/>
    <s v="jan"/>
    <x v="2"/>
    <x v="11"/>
    <s v="EXPURGO"/>
    <x v="0"/>
    <s v="esteira 1.582"/>
    <s v="REMANEJAMENTO"/>
    <n v="5710624052"/>
    <s v="DBM-MLDB03  000024/2026"/>
    <n v="412600150"/>
    <s v="2026-01-27 09:33"/>
    <s v="2026-01-28 14:29"/>
    <s v="FORMS SUBST DE TRANSFORMADOR"/>
    <s v="ETO-RD-GU"/>
    <s v="FORMOSO DO ARAGUAIA"/>
    <s v="QUEIMADO"/>
    <s v="DESCARGA ATMOSFÉRICA"/>
    <s v="66610"/>
    <n v="799446"/>
    <s v="sim"/>
    <s v="TRANSFORMADOR"/>
    <s v="QUEIMADO POR SOBRECARGA"/>
    <m/>
    <m/>
    <s v="não"/>
    <s v="leitura caso a caso"/>
    <s v="Fora do indicador: o texto declara remanejamento: troca de potência ou mudança de poste, não falha."/>
    <s v="segue nota para substituiçao de transformador queimado asseço para camionete"/>
    <s v="REMANEJAMENTO DE TRANSFORMADOR NA RDU DE FORMOSO _x000a_ _x000a_INT: 20264099526652 _x000a_ _x000a_ESPECIFICAÇÕES DO TRANSFORMADOR _x000a_ _x000a_TRANSFORMADOR INSTALADO: 15 KVA _x000a_ _x000a_TRANSFORMADOR RETIRADO: 10 KVA _x000a_ _x000a_MEDIÇÕES _x000a_ _x000a_LOGO APÓS A TROCA  _x000a_ _x000a_VAN: 224 _x000a_ _x000a_OBS:SUBSTITUIÇÃO DE TRANSFORMADOR AUTORIZADA PELO DIONE. _x000a_"/>
  </r>
  <r>
    <x v="179"/>
    <s v="mar"/>
    <x v="2"/>
    <x v="11"/>
    <s v="EXPURGO"/>
    <x v="0"/>
    <s v="esteira 1.582"/>
    <s v="REMANEJAMENTO"/>
    <n v="5762760044"/>
    <s v="DG-MPPO01  000080/2026"/>
    <n v="312600244"/>
    <s v="2026-03-30 08:30"/>
    <s v="2026-03-30 15:35"/>
    <s v="FORMS SUBST DE TRANSFORMADOR"/>
    <s v="DG-RD-PO"/>
    <s v="FATIMA"/>
    <s v="SOBRECARGA PREVENTIVA"/>
    <s v="NÃO IDENTIFICADO"/>
    <s v="1613789"/>
    <n v="602371"/>
    <s v="sim"/>
    <m/>
    <m/>
    <m/>
    <m/>
    <s v="não"/>
    <s v="leitura caso a caso"/>
    <s v="Fora do indicador: o texto declara remanejamento: troca de potência ou mudança de poste, não falha."/>
    <s v="SEGUE NOTA PRA REMANEJAR TRAFO 5762760044 RETIRA TRAFO DE 150 POR UM DE 75 FOI INSTALDO DE 150 DEVIDO NO DIA DA QUEIMA NÃO TER NO TRAFO DE 75"/>
    <s v="medido_ _x000a_emergencial_ _x000a_ _x000a_ _x000a_remanejamento de trafo rdu fatima _x000a_"/>
  </r>
  <r>
    <x v="180"/>
    <s v="mar"/>
    <x v="2"/>
    <x v="11"/>
    <s v="EXPURGO"/>
    <x v="0"/>
    <s v="esteira 1.582"/>
    <s v="REMANEJAMENTO"/>
    <n v="5702090039"/>
    <s v="ETO-RD-AG  000302/2026"/>
    <n v="662600212"/>
    <s v="2026-03-27 17:08"/>
    <s v="2026-03-28 18:30"/>
    <s v="SOLICITAÇÃO DE SERVIÇO"/>
    <s v="ETO-RD-AG"/>
    <s v="ARAGUATINS"/>
    <m/>
    <m/>
    <s v="18930"/>
    <n v="827905"/>
    <s v="sim"/>
    <m/>
    <m/>
    <m/>
    <m/>
    <s v="não"/>
    <s v="leitura caso a caso"/>
    <s v="Fora do indicador: o texto declara remanejamento: troca de potência ou mudança de poste, não falha."/>
    <s v="Enviar equipe de manutenção para REMANEJAR trafo 5702090039 - de 25KVA-19.9KV POR TRAFO DE 15KVA-19.9KV"/>
    <s v="Enviar equipe de manutenção para REMANEJAR trafo 5702090039 - de 25KVA-19.9KV POR TRAFO DE 15KVA-19.9KV _x000a_ _x000a_OBS; TRAFO COM ERRO DE CADASTRO NO SISTEMA O MESMO ESTA DE 05KVA CONTUDO EM CAMPO SE ENCONTRAVA DE 25KVA, CONFORME DADOS DO TRANSFORMADOR ABAIXO.  _x000a_ _x000a_ _x000a_TRAFO Nº 5702090039 _x000a_ _x000a_TRAFO RETRIADO  _x000a_ _x000a_POTÊNCIA;  25KVA 34,5KV _x000a_DATA DE FAB; 10/2013 - 02/2025 _x000a_MARCA; EST - TRAEL _x000a_Nº CITD; 144811 _x000a_Nº SÉRIE; 18930 _x000a_POS. DO TAP; 3º _x000a_IMPEDÂNCIA; 3,08 _x000a_ _x000a_TRAFO INSTALADO _x000a_ _x000a_ _x000a_POTÊNCIA;  15KVA 34,5KV _x000a_DATA DE FAB; 2/2026 _x000a_MARCA; TRAEL _x000a_Nº CITD; 150182 _x000a_Nº SÉRIE; 827905 _x000a_POS. DO TAP; 3,0 _x000a_IMPEDÂNCIA; 3,0 _x000a_"/>
  </r>
  <r>
    <x v="181"/>
    <s v="mar"/>
    <x v="2"/>
    <x v="11"/>
    <s v="EXPURGO"/>
    <x v="0"/>
    <s v="esteira 1.582"/>
    <s v="REMANEJAMENTO"/>
    <n v="5700002210"/>
    <s v="ETO-RD-AG  000303/2026"/>
    <n v="662600213"/>
    <s v="2026-03-27 17:12"/>
    <s v="2026-03-29 17:15"/>
    <s v="SOLICITAÇÃO DE SERVIÇO"/>
    <s v="ETO-RD-AG"/>
    <s v="TOCANTINOPOLIS"/>
    <m/>
    <m/>
    <s v="339450"/>
    <n v="18930"/>
    <s v="sim"/>
    <s v="TRANSFORMADOR"/>
    <s v="QUEIMADO POR DESCARGA ATMOSFERICA"/>
    <s v="TRANSFORMADOR"/>
    <s v="QUEIMADO POR DESCARGA ATMOSFERICA"/>
    <s v="não"/>
    <s v="leitura caso a caso"/>
    <s v="Fora do indicador: o texto declara remanejamento: troca de potência ou mudança de poste, não falha."/>
    <s v="Enviar equipe de manutenção para REMANEJAR trafo 5700002210 de 15KVA-19.9KV POR TRAFO DE 25KVA-19.9KV"/>
    <s v="REAMANEJAR TRAFO DE 15KVA-19.9KV POR TRAFO DE 25KVA-19.9KV - DEVIDO ATENDER 27 UNIDADES CONSUMIDORAS _x000a_ _x000a_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_x000a_ _x000a_ _x000a_TRAFO Nº 5700002"/>
  </r>
  <r>
    <x v="182"/>
    <s v="abr"/>
    <x v="2"/>
    <x v="11"/>
    <s v="EXPURGO"/>
    <x v="1"/>
    <s v="esteira 1.582"/>
    <s v="REMANEJAMENTO"/>
    <n v="5700140090"/>
    <s v="ENC-MLAG02  000120/2026"/>
    <n v="662600276"/>
    <s v="2026-04-12 17:40"/>
    <s v="2026-04-14 08:07"/>
    <s v="FORMS SUBST DE TRANSFORMADOR"/>
    <s v="ETO-RD-AG"/>
    <s v="SANTA TEREZINHA DO TOCANTINS"/>
    <m/>
    <m/>
    <s v="106074"/>
    <n v="826189"/>
    <s v="sim"/>
    <s v="TRANSFORMADOR"/>
    <s v="QUEIMADO POR DESCARGA ATMOSFERICA"/>
    <s v="TRANSFORMADOR"/>
    <s v="QUEIMADO POR DESCARGA ATMOSFERICA"/>
    <s v="não"/>
    <s v="leitura caso a caso"/>
    <s v="Fora do indicador: o texto declara remanejamento: troca de potência ou mudança de poste, não falha."/>
    <s v="TR 5700140090TRAFO COM BUCHA SECUNDARIA NEUTRO QUEBRADA POTENCIA 5KVa TENSAO 13.8KVa FOTOS NA OSACESSO CAMINHONETE.FAZER CONTATO COM A EQUIPE DE NAZARÉ PARA ESCLARECER SOBRE O ACESSO. 63992095280."/>
    <s v="TR 5700140090 _x000a_TRAFO COM BUCHA SECUNDARIA NEUTRO QUEBRADA  _x000a_POTENCIA 5KVa  _x000a_TENSAO 13.8KVa  _x000a_FOTOS NA OS _x000a_ACESSO CAMINHONETE. _x000a_FAZER CONTATO COM A EQUIPE DE NAZARÉ PARA ESCLARECER SOBRE O ACESSO. 63992095280. _x000a_ _x000a_SERVIÇO EXECUTADO NO ATENDIMENTO DA SS ETO-RD-AG 0389/2026 DE SUBST DE TRAFO QUEIMADO. _x000a_ _x000a_TRAFO Nº 5700140090. _x000a_ _x000a_TRAFO RETIRADO _x000a_ _x000a_POTÊNCIA; 10KVA 13.8KV _x000a_DATA DE FAB; MARÇO/2007 _x000a_MARCA; TRAEL _x000a_Nº CITD; 20304 _x000a_Nº SÉRIE; 106074 _x000a_POS. DO TAP; 1º _x000a_IMPEDÂNCIA; 2,44 _x000a_ _x000a_TRAFO INSTALADO _x000a_ _x000a_ _x000a_POTÊNCIA; 15KVA 13.8KV _x000a_DATA DE FAB; 01/2026  _x000a_MARCA;TRAEL _x000a_Nº CITD; 149971 _x000a_Nº SÉRIE; 826189 _x000a_POS. D"/>
  </r>
  <r>
    <x v="183"/>
    <s v="mai"/>
    <x v="2"/>
    <x v="11"/>
    <s v="EXPURGO"/>
    <x v="0"/>
    <s v="esteira 1.582"/>
    <s v="REMANEJAMENTO"/>
    <n v="5700700127"/>
    <s v="ETO-RD-AG  000457/2026"/>
    <n v="662600330"/>
    <s v="2026-05-21 14:11"/>
    <s v="2026-05-22 23:00"/>
    <s v="AVISO DE ANOMALIA"/>
    <s v="ETO-RD-AG"/>
    <s v="PALMEIRAS DO TOCANTINS"/>
    <s v="SOBRECARGA PREVENTIVA"/>
    <s v="VAZAMENTO DE ÓLEO"/>
    <m/>
    <m/>
    <s v="não"/>
    <s v="TRANSFORMADOR"/>
    <s v="VAZAMENTO DE OLEO / TANQUE DETERIORADO"/>
    <s v="MEIO AMBIENTE"/>
    <s v="DESCARGA ATMOSFERICA"/>
    <s v="não"/>
    <s v="leitura caso a caso"/>
    <s v="Fora do indicador: o texto declara remanejamento: troca de potência ou mudança de poste, não falha."/>
    <s v="Trafo 5700700127 queimado Potencia: 15 KVATensão:34,5 KVPara raio: Queimado Acesso: camioneta Equipe: 080op01 (63)99234-5515"/>
    <s v="REMANEJAR TRAFO DE 5KVA-19.9KV PARA TRAFO DE 15KVA-19.9KV _x000a_ _x000a_Trafo 5700700127 queimado  _x000a_Potencia: 15 KVA _x000a_Tensão:34,5 KV _x000a_Para raio: Queimado  _x000a_Acesso: camioneta  _x000a_Equipe: 080op01 (63)99234-5515"/>
  </r>
  <r>
    <x v="184"/>
    <s v="mai"/>
    <x v="2"/>
    <x v="11"/>
    <s v="EXPURGO"/>
    <x v="1"/>
    <s v="esteira 1.582"/>
    <s v="REMANEJAMENTO"/>
    <n v="5701602039"/>
    <s v="ETO-RD-AG  000462/2026"/>
    <n v="662600336"/>
    <s v="2026-05-28 16:12"/>
    <s v="2026-05-28 18:27"/>
    <s v="AVISO DE ANOMALIA"/>
    <s v="ETO-RD-AG"/>
    <s v="ARAGUATINS"/>
    <s v="SOBRECARGA PREVENTIVA"/>
    <m/>
    <m/>
    <m/>
    <s v="não"/>
    <m/>
    <m/>
    <m/>
    <m/>
    <s v="não"/>
    <s v="leitura caso a caso"/>
    <s v="Fora do indicador: o texto declara remanejamento: troca de potência ou mudança de poste, não falha."/>
    <s v="TRAFO COM VAZAMENTO DE OLEO  -5701602039ID 55048064TRAFO DE 5KVA -19.9KVZONA RURAL DE ARAGUATINS"/>
    <s v="TRAFO COM VAZAMENTO DE OLEO  -5701602039 _x000a_ID 55048064 _x000a_TRAFO DE 5KVA -19.9KV _x000a_ZONA RURAL DE ARAGUATINS _x000a_ _x000a_ _x000a_REMANEJAR DE TRAFO DE 5KVA POR TRAFO DE 15KVA -PLANO DE MEDIDAS"/>
  </r>
  <r>
    <x v="185"/>
    <s v="jun"/>
    <x v="2"/>
    <x v="11"/>
    <s v="EXPURGO"/>
    <x v="0"/>
    <s v="esteira 1.582"/>
    <s v="REMANEJAMENTO"/>
    <n v="5700041132"/>
    <s v="ETO-RD-AG  000480/2026"/>
    <n v="662600346"/>
    <s v="2026-06-02 19:17"/>
    <s v="2026-06-03 16:31"/>
    <s v="AVISO DE ANOMALIA"/>
    <s v="ETO-RD-AG"/>
    <s v="SAMPAIO"/>
    <s v="SOBRECARGA PREVENTIVA"/>
    <s v="NÃO IDENTIFICADO"/>
    <m/>
    <m/>
    <s v="não"/>
    <s v="TRANSFORMADOR"/>
    <s v="QUEIMADO POR DESCARGA ATMOSFERICA"/>
    <s v="TRANSFORMADOR"/>
    <s v="QUEIMADO POR DESCARGA ATMOSFERICA"/>
    <s v="não"/>
    <s v="leitura caso a caso"/>
    <s v="Fora do indicador: o texto declara remanejamento: troca de potência ou mudança de poste, não falha."/>
    <s v="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
    <s v="PLANO DE MEDIDA - REMANEJAR TRAFO DE 5KVA-34.KV POR TRAFO DE 15KVA-34.5KV - DIRECIONAR PARA O PROJETO 25983."/>
  </r>
  <r>
    <x v="186"/>
    <s v="jun"/>
    <x v="2"/>
    <x v="11"/>
    <s v="EXPURGO"/>
    <x v="1"/>
    <s v="esteira 1.582"/>
    <s v="REMANEJAMENTO"/>
    <n v="5700114081"/>
    <s v="ETO-RD-AG  000490/2026"/>
    <n v="662600363"/>
    <s v="2026-06-10 09:22"/>
    <s v="2026-06-10 22:18"/>
    <s v="AVISO DE ANOMALIA"/>
    <s v="ETO-RD-AG"/>
    <s v="ITAGUATINS"/>
    <s v="SOBRECARGA PREVENTIVA"/>
    <s v="BUCHA DANIFICADA"/>
    <m/>
    <m/>
    <s v="não"/>
    <s v="TRANSFORMADOR"/>
    <s v="VAZAMENTO DE OLEO / TANQUE DETERIORADO"/>
    <s v="TRANSFORMADOR"/>
    <s v="VAZAMENTO DE OLEO / TANQUE DETERIORADO"/>
    <s v="não"/>
    <s v="leitura caso a caso"/>
    <s v="Fora do indicador: o texto declara remanejamento: troca de potência ou mudança de poste, não falha."/>
    <s v="Sergue SS para substituição de TRafo bucha segudaria danificada"/>
    <s v="PLANO DE MEDIDA - REMANEJAR TRAFO DE 10KVA-13.8KV POR TRAFO DE 15KVA-13.8KV - DIRECIONAR PARA O PROJETO 25983."/>
  </r>
  <r>
    <x v="187"/>
    <s v="jun"/>
    <x v="2"/>
    <x v="11"/>
    <s v="EXPURGO"/>
    <x v="0"/>
    <s v="esteira 1.582"/>
    <s v="REMANEJAMENTO"/>
    <n v="5710037039"/>
    <s v="ETO-RD-AG  000491/2026"/>
    <n v="662600370"/>
    <s v="2026-06-11 08:40"/>
    <s v="2026-06-11 20:33"/>
    <s v="AVISO DE ANOMALIA"/>
    <s v="ETO-RD-AG"/>
    <s v="ARAGUATINS"/>
    <s v="SOBRECARGA PREVENTIVA"/>
    <s v="NÃO IDENTIFICADO"/>
    <m/>
    <m/>
    <s v="não"/>
    <s v="TRANSFORMADOR"/>
    <s v="SOBRETENSAO"/>
    <m/>
    <m/>
    <s v="não"/>
    <s v="leitura caso a caso"/>
    <s v="Fora do indicador: o texto declara remanejamento: troca de potência ou mudança de poste, não falha."/>
    <s v="trafo queimado 5710037039 - 15KVA - 34,5KV + para raio queimado - acesso livre chave do trafo com porcelana quebrada. RDR Araguatins sentido Axixa. fazenda Bacuri - cleinte MArco Aureli Andrade Barbosa. - UC 170575-5"/>
    <s v="trafo queimado 5710037039 - 15KVA - 34,5KV + para raio queimado - acesso livre  _x000a_chave do trafo com porcelana quebrada.  _x000a_RDR Araguatins sentido Axixa.  _x000a_fazenda Bacuri - cleinte MArco Aureli Andrade Barbosa. - UC 170575-5 _x000a_ _x000a_ _x000a_ _x000a_ _x000a_PLANO DE MEDIDA - REMANEJAR TRAFO DE 10KVA-34.5KV POR TRAFO DE 15KVA-34.5KV - DIRECIONAR PARA O PROJETO 25983."/>
  </r>
  <r>
    <x v="188"/>
    <s v="jun"/>
    <x v="2"/>
    <x v="11"/>
    <s v="EXPURGO"/>
    <x v="0"/>
    <s v="esteira 1.582"/>
    <s v="REMANEJAMENTO"/>
    <n v="5700269132"/>
    <s v="ENC-MLAG01  000167/2026"/>
    <n v="662600406"/>
    <s v="2026-06-25 16:42"/>
    <s v="2026-06-26 23:19"/>
    <s v="SOLICITAÇÃO DE SERVIÇO"/>
    <s v="ETO-RD-AG"/>
    <s v="SAMPAIO"/>
    <m/>
    <m/>
    <s v="496858"/>
    <n v="836210"/>
    <s v="sim"/>
    <m/>
    <m/>
    <m/>
    <m/>
    <s v="não"/>
    <s v="leitura caso a caso"/>
    <s v="Fora do indicador: o texto declara remanejamento: troca de potência ou mudança de poste, não falha."/>
    <s v="Enviar equipe de manutenção para REMANEJAR trafo 5700269132 - de 25KVA-19.9KV POR TRAFO DE 15KVA-19.9KV"/>
    <s v="OS PARA REMANEJAR TRAFO DE 25 KVA 34,5 POR TRAFO DE 15 KVA 34,5 _x000a_Enviar equipe de manutenção para REMANEJAR trafo 5700269132 - de 25KVA-19.9KV POR TRAFO DE 15KVA-19.9KV _x000a_ _x000a_ _x000a_TRAFO Nº 5700269132. _x000a_ _x000a_TRAFO RETIRADO  _x000a_ _x000a_POTÊNCIA; 25KVA 34,5KV _x000a_DATA DE FAB;  2019 - 01/2026 _x000a_MARCA; TRAEL - CPFL _x000a_Nº CITD; 127471 _x000a_Nº SÉRIE; 496858 _x000a_POS. DO TAP; 3 _x000a_IMPEDÂNCIA; 3,02 _x000a_ _x000a_TRAFO INSTALADO  _x000a_ _x000a_POTÊNCIA; 15KVA 34,5KV _x000a_DATA DE FAB; ABRIL/2026  _x000a_MARCA; TRAEL _x000a_Nº CITD; 152183 _x000a_Nº SÉRIE; 836210 _x000a_POS. DO TAP; 3º _x000a_IMPEDÂNCIA; 2,82 _x000a_MEDIÇÃO; 6,91 / 6,90 / 6,88"/>
  </r>
  <r>
    <x v="189"/>
    <s v="jul"/>
    <x v="2"/>
    <x v="11"/>
    <s v="EXPURGO"/>
    <x v="1"/>
    <s v="leitura do texto (jan–ago)"/>
    <s v="REMANEJAMENTO"/>
    <n v="5712592130"/>
    <s v="ENC-MPAG01  000347/2026"/>
    <m/>
    <s v="2026-07-16 16:20"/>
    <s v="2026-08-07 13:13"/>
    <s v="AVISO DE ANOMALIA"/>
    <s v="ETO-RD-AG"/>
    <s v="SAO MIGUEL DO TOCANTINS"/>
    <s v="CABOS BT"/>
    <s v="DETERIORADA"/>
    <s v="124522"/>
    <n v="457685"/>
    <s v="sim"/>
    <m/>
    <m/>
    <m/>
    <m/>
    <s v="não"/>
    <s v="leitura caso a caso"/>
    <s v="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
    <s v="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
    <m/>
  </r>
  <r>
    <x v="190"/>
    <s v="ago"/>
    <x v="2"/>
    <x v="11"/>
    <s v="EXPURGO"/>
    <x v="7"/>
    <s v="leitura do texto (jan–ago)"/>
    <s v="REMANEJAMENTO"/>
    <n v="5700558081"/>
    <s v="ETO-RD-AG  000882/2026"/>
    <n v="662600558"/>
    <s v="2026-08-29 13:40"/>
    <s v="2026-08-29 19:06"/>
    <s v="AVISO DE ANOMALIA"/>
    <s v="ETO-RD-AG"/>
    <s v="ITAGUATINS"/>
    <s v="SOBRECARGA PREVENTIVA"/>
    <s v="SOBRECARGA"/>
    <s v="260954"/>
    <n v="577013"/>
    <s v="sim"/>
    <s v="CONDUTOR DE BT"/>
    <s v="PARTIDO NO NEUTRO"/>
    <m/>
    <m/>
    <s v="não"/>
    <s v="leitura caso a caso"/>
    <s v="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
    <s v="SEGUE SS PARA SUSBTITUIR TRAFO E EXECUTAR MELHORIA DE ATERRAMENTO"/>
    <s v="PLANO DE MEDIDA - Realizar substituição do trafo 5700558081 de 5 kVA para 15 kVA. _x000a_ _x000a_OBS; TRAFO EM CAMPO SEM ATUALIZAÇÃO DE CADASTRO, ONDE O MESMO NO SISTEMA É DE 05KVA 7.9KV E EM CAMPO JA SE ENCONTRAVA CONFORME LAUDO EM ANEXO DE 15KVA 7.9KV. _x000a_ _x000a_ _x000a_TRAFO Nº5700558081 _x000a_ _x000a_TRAFO RETIRADO  _x000a_ _x000a_POTÊNCIA; 15KVA 13.8KV _x000a_DATA DE FAB; 06/2005 _x000a_MARCA; CEMEC _x000a_Nº CITD; N/A _x000a_Nº SÉRIE; 260954 _x000a_POS. DO TAP; 2º _x000a_IMPEDÂNCIA; 2,67 _x000a_ _x000a_ _x000a_TRAFO INSTALADO  _x000a_  _x000a_POTÊNCIA;  15KVA 13.8KV _x000a_DATA DE FAB; 2021 - 09/04/2026 _x000a_MARCA; TRAEL _x000a_Nº CITD; 128656 _x000a_Nº SÉRIE; 577013 _x000a_POS. DO TAP; 3º _x000a_IMPEDÂNCIA; 2,67 _x000a_MEDIÇÃO; 4,13 / 3,"/>
  </r>
  <r>
    <x v="191"/>
    <s v="ago"/>
    <x v="2"/>
    <x v="11"/>
    <s v="EXPURGO"/>
    <x v="7"/>
    <s v="leitura do texto (jan–ago)"/>
    <s v="REMANEJAMENTO"/>
    <n v="5704180004"/>
    <s v="ENC-MLAR03  000130/2026"/>
    <n v="612600827"/>
    <s v="2026-08-23 11:52"/>
    <s v="2026-08-23 17:50"/>
    <s v="AVISO DE ANOMALIA"/>
    <s v="ETO-RD-AR"/>
    <s v="ARAGUAINA"/>
    <s v="SOBRECARGA PREVENTIVA"/>
    <s v="SOBRECARGA"/>
    <s v="201094"/>
    <n v="973689"/>
    <s v="sim"/>
    <s v="TRANSFORMADOR"/>
    <s v="SOBRECARGA"/>
    <s v="TRANSFORMADOR"/>
    <s v="SOBRECARGA"/>
    <s v="não"/>
    <s v="leitura caso a caso"/>
    <s v="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
    <s v="Segundo medições feitas no trafo 5704180004 de 75kVA, favor providenciar a substituição do mesmo por um de 112.5kvA.Fase A 205 Fase B 210 Fase C 207 Correntes Neutro 75 Fase A 182 Fase B 125 Fase C 91Obs.: não foi instalado RMS por não ter disponível na região."/>
    <s v="ETO RD AR 1288/2026 _x000a_TR: 5704180004 _x000a_ _x000a_TRAFO RETIRADO _x000a_POTÊNCIA : 75KVA  _x000a_TENSÃO :_x0009_ 13,8KV  _x000a_Nº ENERGISA (CITD) : 48269 _x000a_Nº DE SÉRIE : 201094 _x000a_MARCA : TRAEL  _x000a_DATA FABRICAÇÃO : 09/2010 _x000a_IMPEDANCIA : 3,71 _x000a_POS. TAP : 03 _x000a_ _x000a_TRAFO INSTALADO _x000a_POTÊNCIA : 112,5KVA  _x000a_TENSÃO :_x0009_ 13,8KV  _x000a_Nº ENERGISA (CITD) : 153163 _x000a_Nº DE SÉRIE : 573689 _x000a_MARCA : ITAIPU  _x000a_DATA FABRICAÇÃO : 05/2025 _x000a_IMPEDANCIA : 3,36 _x000a_POS. TAP : 03 _x000a_"/>
  </r>
  <r>
    <x v="192"/>
    <s v="jan"/>
    <x v="2"/>
    <x v="12"/>
    <s v="EXPURGO"/>
    <x v="1"/>
    <s v="esteira 1.582"/>
    <s v="TAPE/REGULARIZAÇÃO DE TENSÃO"/>
    <n v="5301105039"/>
    <s v="ENC-MPAG02  000238/2025"/>
    <n v="662600037"/>
    <s v="2026-01-10 18:11"/>
    <s v="2026-01-10 23:55"/>
    <s v="FORMS SUBST DE TRANSFORMADOR"/>
    <s v="ETO-RD-AG"/>
    <s v="ARAGUATINS"/>
    <s v="QUEIMADO"/>
    <s v="NÃO IDENTIFICADO"/>
    <s v="Z.249939"/>
    <n v="275765"/>
    <s v="sim"/>
    <s v="DESLIGAMENTO SEM PROGRAMACAO PREVIA"/>
    <s v="RD DE BT"/>
    <m/>
    <m/>
    <s v="não"/>
    <s v="leitura caso a caso"/>
    <s v="Fora do indicador: o texto descreve tensão baixa que não sobe nem mexendo no tape — o transformador não dá conta da tensão pedida, e isso é nível de tensão, não falha do equipamento."/>
    <s v="Segue nota para envia equipe manutenção substituir Trafo 5301105039 de 25kva avariado em campo problemas de tensão baixa, Obs. Não esta aumentando tensão mesmo alterando TAP, Tensão 19,9kv, Acesso livre, Rural de Araguatins, Chac. Porto do Céu."/>
    <s v="Segue nota para envia equipe manutenção substituir Trafo 5301105039 de 25kva avariado em campo problemas de tensão baixa, Obs. Não esta aumentando tensão mesmo alterando TAP, Tensão 19,9kv, Acesso livre, Rural de Araguatins, Chac. Porto do Céu. _x000a_ _x000a_ _x000a_ _x000a_TRAFO RETIRADO _x000a_ _x000a_POTÊNCIA; 25KVA 34,5KV _x000a_DATA DE FAB; 04/2024 _x000a_MARCA; ITAM _x000a_Nº CITD; 140666 _x000a_Nº SÉRIE; Z.249939 _x000a_IMPEDÂNCIA; 3,15 _x000a_ _x000a_TRAFO INSTALADO _x000a_ _x000a_POTÊNCIA; 25KVA 34,5KV _x000a_DATA DE FAB; 04/2025 _x000a_MARCA; ITAM _x000a_Nº CITD; 146628 _x000a_Nº SÉRIE; 275765 _x000a_IMPEDÂNCIA; 3,20 _x000a_MEDIÇÃO; 00,02 / 00,07 / 00,06 _x000a_ _x000a_ _x000a_OBS; A POTÊNCIA DO TRAFO NO SISTEMA É DE 05KVA "/>
  </r>
  <r>
    <x v="193"/>
    <s v="fev"/>
    <x v="2"/>
    <x v="12"/>
    <s v="EXPURGO"/>
    <x v="1"/>
    <s v="esteira 1.582"/>
    <s v="TAPE/REGULARIZAÇÃO DE TENSÃO"/>
    <n v="5703857001"/>
    <s v="DLP-MLPA03  000016/2026"/>
    <n v="112600317"/>
    <s v="2026-02-25 21:53"/>
    <s v="2026-02-26 19:48"/>
    <s v="FORMS SUBST DE TRANSFORMADOR"/>
    <s v="DOLP-RD-PA"/>
    <s v="PORTO NACIONAL"/>
    <s v="AVARIADO"/>
    <s v="BUCHA DANIFICADA"/>
    <s v="369871"/>
    <n v="267044"/>
    <s v="sim"/>
    <m/>
    <m/>
    <m/>
    <m/>
    <s v="não"/>
    <s v="leitura caso a caso"/>
    <s v="Fora do indicador: o transformador foi trocado para regularizar tensão porque o tape é interno e não pode ser ajustado em campo — não houve falha."/>
    <s v="TRAFO 5703857001 com tensão baixa. TAP Interno. Potência: 15 KVATensão: 13,8 KVAcesso: Livre."/>
    <s v="MEDIDO_ _x000a_ _x000a_EMERGENCIAL_ _x000a_ _x000a_TRAFO 5703857001 com tensão baixa. TAP Interno.  _x000a_Potência: 15 KVA - Tensão: 13,8 KV _x000a_Acesso: Livre. _x000a_ _x000a_ _x000a_ _x000a_DADOS ATENDIMENTO _x000a_ _x000a_N° DOCUMENTO SS: DOLP-RD-PA 000294/2026 _x000a_N° DOCUMENTO OS: DLP-MLPA03 000016/2026 _x000a_ _x000a_TIPO DA INTERVENÇÃO: MANUTENÇÃO _x000a_TIPO DO SERVIÇO: SUBSTITUIÇÃO DE TRANSFORMADOR E MELHORIA DE MALHA DE ATERRAMENTO _x000a_DATA PROGRAMADA DA ATIVIDADE: 26/02/2026 _x000a_ _x000a_CIDADE: LUZIMANGUES ALIMENTADOR: AL01102271 _x000a_ _x000a_EQUIPE:  DOLP-CTPA12 _x000a_ENCARREGADO - JULIO IGNACIO _x000a_CONTATO DA EQUIPE: (62) 99209-2321 _x000a_ _x000a_ _x000a_SUPERVISOR: ROGÉRIO MORAES _x000a_CONTATO: 63 9 9295-8935 _x000a_FISCAL RE"/>
  </r>
  <r>
    <x v="194"/>
    <s v="mar"/>
    <x v="2"/>
    <x v="12"/>
    <s v="EXPURGO"/>
    <x v="0"/>
    <s v="esteira 1.582"/>
    <s v="TAPE/REGULARIZAÇÃO DE TENSÃO"/>
    <n v="5710205026"/>
    <s v="DG-MLPO02  000047/2026"/>
    <n v="312600178"/>
    <s v="2026-03-01 15:49"/>
    <s v="2026-03-02 16:12"/>
    <s v="FORMS SUBST DE TRANSFORMADOR"/>
    <s v="DG-RD-PO"/>
    <s v="PONTE ALTA DO TOCANTINS"/>
    <s v="AVARIADO"/>
    <s v="NÃO IDENTIFICADO"/>
    <s v="304388"/>
    <n v="827871"/>
    <s v="sim"/>
    <m/>
    <m/>
    <m/>
    <m/>
    <s v="SIM"/>
    <s v="leitura caso a caso"/>
    <s v="Fora do indicador: o transformador foi trocado para regularizar tensão porque o tape é interno e não pode ser ajustado em campo — não houve falha."/>
    <s v="Trafo 5710205026 com tensao de saida alta, e mao tem como baixar o Tap devido o mesmo ser interno244V, 15 Kva 19,9 Kv, acesso patra camionete"/>
    <s v="medido_ _x000a_emergencial_ _x000a_ _x000a_ _x000a_substituição de trafo tap interno rdr ponte alta _x000a_"/>
  </r>
  <r>
    <x v="195"/>
    <s v="abr"/>
    <x v="2"/>
    <x v="12"/>
    <s v="EXPURGO"/>
    <x v="1"/>
    <s v="esteira 1.582"/>
    <s v="TAPE/REGULARIZAÇÃO DE TENSÃO"/>
    <n v="5710105001"/>
    <s v="DLP-MLPA01  000142/2026"/>
    <n v="112600439"/>
    <s v="2026-04-20 20:01"/>
    <s v="2026-04-20 18:00"/>
    <s v="FORMS SUBST DE TRANSFORMADOR"/>
    <s v="DOLP-RD-PA"/>
    <s v="PORTO NACIONAL"/>
    <s v="AVARIADO"/>
    <s v="NÃO IDENTIFICADO"/>
    <s v="0"/>
    <n v="0"/>
    <s v="não"/>
    <m/>
    <m/>
    <m/>
    <m/>
    <s v="SIM"/>
    <s v="leitura caso a caso"/>
    <s v="Fora do indicador: o texto descreve tensão baixa que não sobe nem mexendo no tape — o transformador não dá conta da tensão pedida, e isso é nível de tensão, não falha do equipamento."/>
    <s v="TRAFO COM TENSÃO BAIXA E TAP INTERNO. POTÊNCIA: 30 KVATENSÃO: 13,8 KVACESSO: LIVRE."/>
    <s v="MEDIDO_ _x000a_ _x000a_01. Baixado para consumo de material _x000a_ _x000a_TRAFO COM TENSÃO BAIXA E TAP INTERNO.  _x000a_ _x000a_POTÊNCIA: 30 KVA _x000a_ _x000a_TENSÃO: 13,8 KV _x000a_ _x000a_ACESSO: LIVRE. _x000a_ _x000a_DADOS DO ATENDIMENTO: _x000a_ _x000a_EQUIPE: 933004 _x000a_LIDER: JOSE RAIMUNDO _x000a_DATA: 21/04/2026"/>
  </r>
  <r>
    <x v="196"/>
    <s v="jun"/>
    <x v="2"/>
    <x v="12"/>
    <s v="EXPURGO"/>
    <x v="0"/>
    <s v="esteira 1.582"/>
    <s v="TAPE/REGULARIZAÇÃO DE TENSÃO"/>
    <n v="5700012065"/>
    <s v="ENC-MPAG01  000261/2026"/>
    <n v="662600373"/>
    <s v="2026-06-12 09:40"/>
    <s v="2026-06-12 21:51"/>
    <s v="FORMS SUBST DE TRANSFORMADOR"/>
    <s v="ETO-RD-AG"/>
    <s v="AXIXA DO TOCANTINS"/>
    <s v="AVARIADO"/>
    <s v="NÃO IDENTIFICADO"/>
    <s v="338119"/>
    <n v="334068"/>
    <s v="sim"/>
    <s v="TRANSFORMADOR"/>
    <s v="QUEIMADO POR CURTO NA RD"/>
    <m/>
    <m/>
    <s v="SIM"/>
    <s v="leitura caso a caso"/>
    <s v="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
    <s v="Favor substituir o trafo 5700012065 de 75kVA na tensão 13.8kV, fica na RDU de Axixá."/>
    <s v="Favor substituir o trafo 5700012065 de 75kVA na tensão 13.8kV, fica na RDU de Axixá. _x000a_ _x000a_ _x000a_TRAFO Nº 5700012065 _x000a_ _x000a_TRAOF RETIRADO _x000a_ _x000a_POTÊNCIA; 75KVA 13.8KV _x000a_DATA DE FAB; 07/1997 _x000a_MARCA; TOSHIBA -  _x000a_Nº CITD; 1672 _x000a_Nº SÉRIE; 338119 _x000a_POS. DO TAP; 1º _x000a_IMPEDÂNCIA; 3,5 _x000a_ _x000a_TRAFO INSTALADO  _x000a_ _x000a_POTÊNCIA; 112,5KVA 13.8KV _x000a_DATA DE FAB; 11/2024 - 11/2025 _x000a_MARCA; TRAEL- TRAEL _x000a_Nº CITD; 148994 _x000a_Nº SÉRIE; 334068 _x000a_POS. DO TAP; 4º _x000a_IMPEDÂNCIA; 3,62 _x000a_MEDIÇÃO; 2,19 / 2,63 / 3,46"/>
  </r>
  <r>
    <x v="197"/>
    <s v="jun"/>
    <x v="2"/>
    <x v="12"/>
    <s v="EXPURGO"/>
    <x v="1"/>
    <s v="esteira 1.582"/>
    <s v="TAPE/REGULARIZAÇÃO DE TENSÃO"/>
    <n v="5700408058"/>
    <s v="ENC-MLAR05  000350/2026"/>
    <n v="612600651"/>
    <s v="2026-06-25 10:28"/>
    <s v="2026-06-25 23:36"/>
    <s v="AVISO DE ANOMALIA"/>
    <s v="ETO-RD-AR"/>
    <s v="SANTA FE DO ARAGUAIA"/>
    <s v="AVARIADO"/>
    <s v="VAZAMENTO DE ÓLEO"/>
    <s v="443443"/>
    <n v="1541159"/>
    <s v="sim"/>
    <s v="DESLIGAMENTO SEM PROGRAMACAO PREVIA"/>
    <s v="RD DE BT"/>
    <m/>
    <m/>
    <s v="não"/>
    <s v="leitura caso a caso"/>
    <s v="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
    <s v="boa tarde!segue SS para substituir trafo com vazamento na rdu de Santa Fé.trafo 5700408058 112,5 KVA"/>
    <s v="ETO-RD-AR 1030/2026 _x000a_TRAFO 5700408058 _x000a_TRAFO RETIRADO _x000a_POTÊNCIA : 75 KVA _x000a_TENSÃO :_x0009_ 34.5 KV _x000a_Nº ENERGISA (CITD) : 109077 _x000a_Nº DE SÉRIE : 443443 _x000a_MARCA : TRAEL _x000a_DATA FABRICAÇÃO : 09/2017 _x000a_IMPEDANCIA : 4,19 _x000a_POS. TAP : 05 _x000a_ _x000a_TRAFO INSTALADO _x000a_POTÊNCIA : 150,5 KVA _x000a_TENSÃO :_x0009_ 34.5 KV _x000a_Nº ENERGISA (CITD) : 139631 _x000a_Nº DE SÉRIE : 1541159 _x000a_MARCA : ROMAGNOLE _x000a_DATA FABRICAÇÃO : 04/2024 _x000a_IMPEDANCIA : 4,20 _x000a_POS. TAP : 04 _x000a_"/>
  </r>
  <r>
    <x v="198"/>
    <s v="jul"/>
    <x v="2"/>
    <x v="12"/>
    <s v="EXPURGO"/>
    <x v="1"/>
    <s v="leitura do texto (jan–ago)"/>
    <s v="TAPE/REGULARIZAÇÃO DE TENSÃO"/>
    <n v="5710025025"/>
    <s v="ENC-MPAR02  000037/2026"/>
    <n v="612600704"/>
    <s v="2026-07-13 18:41"/>
    <s v="2026-07-14 23:36"/>
    <s v="AVISO DE ANOMALIA"/>
    <s v="ETO-RD-AR"/>
    <s v="ARAPOEMA"/>
    <s v="AVARIADO"/>
    <s v="NÃO IDENTIFICADO"/>
    <s v="99061907"/>
    <m/>
    <s v="não"/>
    <m/>
    <m/>
    <m/>
    <m/>
    <s v="não"/>
    <s v="leitura caso a caso"/>
    <s v="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
    <s v="Substitui trafo 5710025025 TAP submerso e a tensão esta baixa em campo. Acesso livre. PRAIA DO JACU"/>
    <s v="ETO-RD-A 1095/2026 _x000a_TRAFO 5710025025 _x000a_TRAFO RETIRADO _x000a_POTÊNCIA : 25 KVA _x000a_TENSÃO :_x0009_ 34.5 KV _x000a_Nº ENERGISA (CITD) : ILEGIVEL _x000a_Nº DE SÉRIE : 99061907 _x000a_MARCA : MEGATRAFO _x000a_DATA FABRICAÇÃO : 06/99 _x000a_IMPEDANCIA : 3,0 _x000a_POS. TAP : 04 _x000a_ _x000a_TRAFO INSTALADO _x000a_POTÊNCIA : 25 KVA _x000a_TENSÃO :_x0009_ 34.5 KV _x000a_Nº ENERGISA (CITD) : 151046 _x000a_Nº DE SÉRIE : Z 303166 _x000a_MARCA : ITAM _x000a_DATA FABRICAÇÃO : 02/2026 _x000a_IMPEDANCIA : 2,99 _x000a_POS. TAP : 04 _x000a_ _x000a_ _x000a_"/>
  </r>
  <r>
    <x v="199"/>
    <s v="jan"/>
    <x v="3"/>
    <x v="13"/>
    <s v="EXPURGO"/>
    <x v="0"/>
    <s v="esteira 1.582"/>
    <s v="OBRA SEM EXECUÇÃO"/>
    <n v="5710067250"/>
    <s v="DG-MLPO01  000024/2026"/>
    <n v="312600095"/>
    <s v="2026-01-27 18:44"/>
    <s v="2026-01-28 16:42"/>
    <s v="FORMS SUBST DE TRANSFORMADOR"/>
    <s v="DG-RD-PO"/>
    <s v="IPUEIRAS"/>
    <s v="FURTADO"/>
    <s v="FURTADO"/>
    <s v="369941"/>
    <n v="820299"/>
    <s v="sim"/>
    <s v="TRANSFORMADOR"/>
    <s v="QUEIMADO POR DESCARGA ATMOSFERICA"/>
    <m/>
    <m/>
    <s v="não"/>
    <s v="leitura caso a caso"/>
    <s v="Fora do indicador: a obra existe e não executou nada — sem material e sem valor realizado."/>
    <s v="INT: 20264101055791Segue SS de TR 5710067250 15KVA/19.9KV e para-raios possivelmente furtado.Acesso livre para caminhonete.UC 8832714CHACARA SAO JOAO BATISTA63992193439CLEUSA DOS SANTOS001OP18 63 99295-3666"/>
    <s v="medido_ _x000a_emergencial_ _x000a_ _x000a_ _x000a_substituição de trafo furtado rdr ipueiras  _x000a_"/>
  </r>
  <r>
    <x v="200"/>
    <s v="fev"/>
    <x v="3"/>
    <x v="14"/>
    <s v="EXPURGO"/>
    <x v="0"/>
    <s v="esteira 1.582"/>
    <s v="OBRA SEM TRANSFORMADOR NO MATERIAL"/>
    <n v="5710321010"/>
    <s v="DLP-MLPA01  000059/2026"/>
    <n v="112600269"/>
    <s v="2026-02-11 17:52"/>
    <s v="2026-02-19 13:47"/>
    <s v="FORMS SUBST DE TRANSFORMADOR"/>
    <s v="DOLP-RD-PA"/>
    <s v="LAJEADO"/>
    <s v="QUEIMADO"/>
    <s v="DESCARGA ATMOSFÉRICA"/>
    <s v="928991"/>
    <n v="498289"/>
    <s v="sim"/>
    <s v="TRANSFORMADOR"/>
    <s v="QUEIMADO POR DESCARGA ATMOSFERICA"/>
    <s v="TRANSFORMADOR"/>
    <s v="QUEIMADO POR DESCARGA ATMOSFERICA"/>
    <s v="SIM"/>
    <s v="leitura caso a caso"/>
    <s v="Fora do indicador: obra encerrada e conferida no material, sem transformador movimentado."/>
    <s v="segue nota de trafo queimado,trafo 5710321010, trafo de 15kva, tensao 34500 / 440 V acesso livre, para raio danificado,"/>
    <s v="MEDIDO_ _x000a_ _x000a_EMERGENCIAL_ _x000a_ _x000a_ _x000a_segue nota de trafo queimado,trafo 5710321010, trafo de 15kva, tensao 34500 / 440 V acesso livre, para raio danificado, _x000a_ _x000a_ _x000a_DADOS ATENDIMENTO _x000a_ _x000a_EQUIPE: PALMA05M _x000a_LIDER: ALVARO PEREIRA DE MELO     _x000a_CONTATO: 63 9 9295-6812 _x000a_N° DOCUMENTO: DOLP-RD-PA 244/2026 _x000a_DATA ATENDIMENTO: 12/02/2026 _x000a_ _x000a_Atenção! _x000a_Não intervenha na rede sem autorização do COI (Centro de Operações Integradas) _x000a_"/>
  </r>
  <r>
    <x v="201"/>
    <s v="fev"/>
    <x v="3"/>
    <x v="14"/>
    <s v="EXPURGO"/>
    <x v="0"/>
    <s v="esteira 1.582"/>
    <s v="OBRA SEM TRANSFORMADOR NO MATERIAL"/>
    <n v="5700075036"/>
    <s v="DBM-MPDB08  000047/2026"/>
    <n v="412600231"/>
    <s v="2026-02-18 18:51"/>
    <s v="2026-02-19 13:59"/>
    <s v="FORMS SUBST DE TRANSFORMADOR"/>
    <s v="ETO-RD-GU"/>
    <s v="ALVORADA"/>
    <s v="QUEIMADO"/>
    <s v="DESCARGA ATMOSFÉRICA"/>
    <s v="10021"/>
    <n v="334046"/>
    <s v="sim"/>
    <s v="CAUSA NAO IDENTIFICADA"/>
    <s v="CAUSA NAO IDENTIFICADA - ESPECIFICAR"/>
    <s v="CAUSA NAO IDENTIFICADA"/>
    <s v="CAUSA NAO IDENTIFICADA - ESPECIFICAR"/>
    <s v="não"/>
    <s v="leitura caso a caso"/>
    <s v="Fora do indicador: obra encerrada e conferida no material, sem transformador movimentado."/>
    <s v="SEGUE SOLICITAÇÃO DE SERVIÇO PARA TROCA DE TRAFO QUEIMADO NA RDU DE ALVORADA"/>
    <s v="SUBSTITUIÇÃO DE TRANSFORMADOR NA RDR DE ALVORADA _x000a_ _x000a_SS: ETO-RD-GU 232/2026 _x000a_ _x000a_ESPECIFICAÇÕES DO TRANSFORMADOR _x000a_ _x000a_TRANSFORMADOR INSTALADO:  75 KVA _x000a_ _x000a_TRANSFORMADOR RETIRADO: 75 KVA _x000a_ _x000a_MEDIÇÕES _x000a_ _x000a_LOGO APÓS A TROCA  _x000a_ _x000a_VAN: 218 _x000a_ _x000a_OBS:SUBSTITUIÇÃO DE TRANSFORMADOR AUTORIZADA PELO DIONE. _x000a_"/>
  </r>
  <r>
    <x v="202"/>
    <s v="jun"/>
    <x v="3"/>
    <x v="14"/>
    <s v="EXPURGO"/>
    <x v="0"/>
    <s v="esteira 1.582"/>
    <s v="OBRA SEM TRANSFORMADOR NO MATERIAL"/>
    <n v="5710011094"/>
    <s v="DBM-MPDB10  000071/2026"/>
    <n v="412600525"/>
    <s v="2026-06-25 11:41"/>
    <s v="2026-06-26 16:10"/>
    <s v="FORMS SUBST DE TRANSFORMADOR"/>
    <s v="ETO-RD-GU"/>
    <s v="PEIXE"/>
    <s v="QUEIMADO"/>
    <s v="NÃO IDENTIFICADO"/>
    <s v="566197039"/>
    <n v="1557595"/>
    <s v="sim"/>
    <s v="TRANSFORMADOR"/>
    <s v="VAZAMENTO DE OLEO / TANQUE DETERIORADO"/>
    <s v="TRANSFORMADOR"/>
    <s v="VAZAMENTO DE OLEO / TANQUE DETERIORADO"/>
    <s v="SIM"/>
    <s v="leitura caso a caso"/>
    <s v="Fora do indicador: obra encerrada e conferida no material, sem transformador movimentado."/>
    <s v="Segue SS de trafo 5710011094 queimado para devidas trativas com equipe de manutenção.Potencia: 30kva Tensão 34,5 kvPara raio: queimado acesso livre"/>
    <s v="SUBSTITUIÇÃO DE TRANSFORMADOR NA RDR DE PEIXE _x000a_ _x000a_SS: ETO-RD-GU 671-2026 _x000a_ _x000a_ESPECIFICAÇÕES DO TRANSFORMADOR _x000a_ _x000a_TRANSFORMADOR INSTALADO: 30 KVA _x000a_ _x000a_TRANSFORMADOR RETIRADO: 30 KVA _x000a_ _x000a_OBS:SUBSTITUIÇÃO DE TRANSFORMADOR AUTORIZADA PELO DIONE. _x000a_"/>
  </r>
  <r>
    <x v="203"/>
    <s v="mar"/>
    <x v="3"/>
    <x v="15"/>
    <s v="EXPURGO"/>
    <x v="8"/>
    <s v="esteira 1.582"/>
    <s v="SEM OS E SEM OBRA"/>
    <n v="5736149196"/>
    <s v="ETO-LMPA01  000075/2026"/>
    <n v="112600682"/>
    <s v="2026-03-13 18:01"/>
    <s v="2026-03-14 15:31"/>
    <s v="FORMS SUBST DE TRANSFORMADOR"/>
    <s v="DOLP-RD-PA"/>
    <s v="LAGOA DO TOCANTINS"/>
    <s v="QUEIMADO"/>
    <s v="NÃO IDENTIFICADO"/>
    <s v="498611"/>
    <n v="828036"/>
    <s v="sim"/>
    <s v="TRANSFORMADOR"/>
    <s v="QUEIMADO POR CAUSA NAO IDENTIFICADA"/>
    <s v="TRANSFORMADOR"/>
    <s v="QUEIMADO POR CAUSA NAO IDENTIFICADA"/>
    <s v="SIM"/>
    <s v="leitura caso a caso"/>
    <s v="Fora do indicador: a OS não tem descrição e a obra não foi gerada — não há o que ler nem o que conferir."/>
    <s v="segue ss de 01  trafo de 15 kvar e 01 para raio da rede de 34.500kv e 01 para raio queimado para ser subistituido pela equipe de manutencão acesso livre equipe que atendeu 151op01 cel, 63992044413/992629128 acesso livre favor agilizar o atendimento"/>
    <m/>
  </r>
  <r>
    <x v="204"/>
    <s v="mar"/>
    <x v="3"/>
    <x v="15"/>
    <s v="EXPURGO"/>
    <x v="0"/>
    <s v="esteira 1.582"/>
    <s v="SEM OS E SEM OBRA"/>
    <n v="5711515122"/>
    <s v="ETO-LMPA02  000292/2026"/>
    <n v="112600683"/>
    <s v="2026-03-15 18:33"/>
    <s v="2026-03-16 16:38"/>
    <s v="FORMS SUBST DE TRANSFORMADOR"/>
    <s v="DOLP-RD-PA"/>
    <s v="PALMAS"/>
    <s v="QUEIMADO"/>
    <s v="DESCARGA ATMOSFÉRICA"/>
    <s v="2829653"/>
    <n v="289653"/>
    <s v="sim"/>
    <s v="CAUSA NAO IDENTIFICADA"/>
    <s v="CAUSA NAO IDENTIFICADA - ESPECIFICAR"/>
    <s v="MEIO AMBIENTE"/>
    <s v="DESCARGA ATMOSFERICA"/>
    <s v="SIM"/>
    <s v="leitura caso a caso"/>
    <s v="Fora do indicador: a OS não tem descrição e a obra não foi gerada — não há o que ler nem o que conferir."/>
    <s v="TRAFO 5711515122 QUEIMADOPOTÊNCIA: 15 KVATENSÃO: 7,9 KVPARARAIO: BOMACESSO: LIVRE"/>
    <s v=" _x000a_SUBSTITUIÇÃO DO TF FEITO PELA EQUIPE PRORPIA DA ETO COCOM CENTRO. _x000a_ _x000a_ _x000a_PATRIMONIO  - 150012 _x000a_"/>
  </r>
  <r>
    <x v="205"/>
    <s v="abr"/>
    <x v="3"/>
    <x v="15"/>
    <s v="EXPURGO"/>
    <x v="8"/>
    <s v="esteira 1.582"/>
    <s v="SEM OS E SEM OBRA"/>
    <n v="5700108050"/>
    <s v="ETO-RD-DP  000615/2026"/>
    <m/>
    <s v="2026-04-07 15:30"/>
    <s v="2026-03-31 14:45"/>
    <s v="SOLICITAÇÃO DE SERVIÇO"/>
    <s v="ETO-RD-DP"/>
    <s v="COMBINADO"/>
    <s v="AVARIADO"/>
    <s v="VAZAMENTO DE ÓLEO"/>
    <m/>
    <m/>
    <s v="não"/>
    <m/>
    <m/>
    <m/>
    <m/>
    <s v="não"/>
    <s v="leitura caso a caso"/>
    <s v="Fora do indicador: a OS não tem descrição e a obra não foi gerada — não há o que ler nem o que conferir."/>
    <s v="SS criada para substituir SS ETO RD DP 002025/2026  que foi cancelada."/>
    <m/>
  </r>
  <r>
    <x v="206"/>
    <s v="jan"/>
    <x v="3"/>
    <x v="16"/>
    <s v="EXPURGO"/>
    <x v="0"/>
    <s v="esteira 1.582"/>
    <s v="SEM OBRA — PASSADOS 60 DIAS"/>
    <n v="5700269070"/>
    <s v="DLP-MLPA01  000003/2026"/>
    <n v="112600697"/>
    <s v="2026-01-03 18:09"/>
    <s v="2026-02-01 12:00"/>
    <s v="FORMS SUBST DE TRANSFORMADOR"/>
    <s v="DOLP-RD-PA"/>
    <s v="RIO SONO"/>
    <s v="QUEIMADO"/>
    <s v="DESCARGA ATMOSFÉRICA"/>
    <s v="437885"/>
    <n v="1615862"/>
    <s v="sim"/>
    <s v="TRANSFORMADOR"/>
    <s v="QUEIMADO POR DESCARGA ATMOSFERICA"/>
    <m/>
    <m/>
    <s v="SIM"/>
    <s v="leitura caso a caso"/>
    <s v="Fora do indicador: obra não gerada há 214 dias — a prova de material não vai mais chegar."/>
    <s v="segue ss de trafo queimado, trafo 5700269070, tensao 34500 / 440 V,  trafo de 15kva, acesso somente para caminhonete, obs o trafo fica uns 40 metros de distancia."/>
    <s v="MEDIDO_ _x000a_ _x000a_EMERGENCIAL_ _x000a_ _x000a_segue ss de trafo queimado, trafo 5700269070, tensao 34500 / 440 V,  trafo de 15kva, acesso somente para caminhonete, obs o trafo fica uns 40 metros de distancia. _x000a_ _x000a_ _x000a_DADOS ATENDIMENTO _x000a_EQUIPE PALMA05M _x000a_LIDER - ALVARO MELO _x000a_CONTATO - (63) 99295-6812 _x000a_ _x000a_SS DOLP-RD-PA 008/2025 _x000a_ _x000a_DATA ATENDIMENTO  _x000a_05/01/2025 _x000a_ _x000a_OBS: CUMPRIMENTO DE TODOS OS PROCEDIMENTOS DE SEGURANÇA"/>
  </r>
  <r>
    <x v="207"/>
    <s v="jan"/>
    <x v="3"/>
    <x v="16"/>
    <s v="EXPURGO"/>
    <x v="9"/>
    <s v="esteira 1.582"/>
    <s v="SEM OBRA — PASSADOS 60 DIAS"/>
    <n v="5745888082"/>
    <s v="DLP-MPPA01  000034/2026"/>
    <n v="112600686"/>
    <s v="2026-01-19 16:27"/>
    <s v="2026-01-21 14:49"/>
    <s v="FORMS SUBST DE TRANSFORMADOR"/>
    <s v="DOLP-RD-PA"/>
    <s v="LIZARDA"/>
    <s v="QUEIMADO"/>
    <s v="NÃO IDENTIFICADO"/>
    <s v="1442136"/>
    <n v="1616964"/>
    <s v="sim"/>
    <s v="TRANSFORMADOR"/>
    <s v="QUEIMADO POR SOBRECARGA"/>
    <s v="TRANSFORMADOR"/>
    <s v="QUEIMADO POR SOBRECARGA"/>
    <s v="SIM"/>
    <s v="leitura caso a caso"/>
    <s v="Fora do indicador: obra não gerada há 198 dias — a prova de material não vai mais chegar."/>
    <s v="segue ss de 01 trafo de 30 kvar e 01 para raio queimado da rede de 34.500kv  para ser subistituiodo pela equipe de manuitencão acesso livre cliente penalizado 01 equipe que atendeu 082op01 cel, 63992218450/984684885/992093907 favor agilizar o atendimento"/>
    <s v="MEDIDO_ _x000a_ _x000a_EMERGENCIAL_ _x000a_ _x000a_ _x000a_segue ss de 01 trafo de 30 kvar e 01 para raio queimado da rede de 34.500kv  para ser subistituiodo pela equipe de manuitencão acesso livre cliente penalizado 01 equipe que atendeu 082op01 cel, 63992218450/984684885/992093907 favor agilizar o atendimento _x000a_ _x000a_ _x000a_ _x000a_ _x000a_DADOS ATENDIMENTO _x000a_EQUIPE PALM12M _x000a_ENCARREGADO - NEY WELINGTON _x000a_CONTATO - (63) 99296-7238 _x000a_SS DOLP-RD-PA 096/2026 _x000a_OBS: Substituição transformador, realizar correção malha ade aterramento e instalar para raios na rede MT e fazer malha aterramento _x000a_DATA ATENDIMENTO: 20/01/2026 _x000a_"/>
  </r>
  <r>
    <x v="208"/>
    <s v="jan"/>
    <x v="3"/>
    <x v="16"/>
    <s v="EXPURGO"/>
    <x v="9"/>
    <s v="esteira 1.582"/>
    <s v="SEM OBRA — PASSADOS 60 DIAS"/>
    <n v="5709566006"/>
    <s v="DLP-MLPA02  000008/2026"/>
    <n v="112600685"/>
    <s v="2026-01-22 21:15"/>
    <s v="2026-01-24 16:50"/>
    <s v="FORMS SUBST DE TRANSFORMADOR"/>
    <s v="DOLP-RD-PA"/>
    <s v="TOCANTINIA"/>
    <s v="QUEIMADO"/>
    <s v="VAZAMENTO DE ÓLEO"/>
    <s v="389722"/>
    <n v="799480"/>
    <s v="sim"/>
    <m/>
    <m/>
    <s v="TRANSFORMADOR"/>
    <s v="QUEIMADO POR CURTO NA RD"/>
    <s v="SIM"/>
    <s v="leitura caso a caso"/>
    <s v="Fora do indicador: obra não gerada há 195 dias — a prova de material não vai mais chegar."/>
    <s v="segue nota de trafo, trafo 5709566006, tensao 34500 / 440 V, trafo de 15kva, acesso somente para caminhonete, para raio danificado"/>
    <s v="MEDIDO_ _x000a_ _x000a_EMERGENCIAL_ _x000a_ _x000a_ _x000a_DADOS ATENDIMENTO _x000a_ _x000a_EQUIPE: PALMA05M _x000a_LIDER: ALVARO PEREIRA DE MELO     _x000a_CONTATO: 63 9 9295-6812 _x000a_DOLP-RD-PA 000114/2026 _x000a_DATA ATENDIMENTO: 23/01/2026 _x000a_ _x000a_Atenção! _x000a_Não intervenha na rede sem autorização do COI (Centro de Operações Integradas)"/>
  </r>
  <r>
    <x v="209"/>
    <s v="jan"/>
    <x v="3"/>
    <x v="16"/>
    <s v="EXPURGO"/>
    <x v="0"/>
    <s v="esteira 1.582"/>
    <s v="SEM OBRA — PASSADOS 60 DIAS"/>
    <n v="5730365013"/>
    <s v="ENC-LMPS01  000036/2026"/>
    <m/>
    <s v="2026-01-28 11:46"/>
    <s v="2026-01-28 18:40"/>
    <s v="FORMS SUBST DE TRANSFORMADOR"/>
    <s v="ENC-RD-PS"/>
    <s v="PARAISO DO TOCANTINS"/>
    <s v="QUEIMADO"/>
    <s v="DESCARGA ATMOSFÉRICA"/>
    <s v="482209"/>
    <m/>
    <s v="não"/>
    <s v="CONEXAO/JUMPER"/>
    <s v="JUMPER BT"/>
    <m/>
    <m/>
    <s v="não"/>
    <s v="leitura caso a caso"/>
    <s v="Fora do indicador: obra não gerada há 189 dias — a prova de material não vai mais chegar."/>
    <s v="TR 5730365013150KVATENSAO 13800PARA RAIO DANIFICADOS /ACESSO PARA CAMINHAO 163UC PENALIZADAS"/>
    <s v="SS ENC-RD-PS 143/2026 _x000a_TR 5730365013 _x000a_ _x000a_ _x000a_ _x000a_ _x000a_ _x000a_TRAFO RETIRADO _x000a_POTÊNCIA : 150KVA _x000a_TENSÃO :_x0009_ 13.8KV _x000a_Nº ENERGISA (CITD) : 134131 _x000a_Nº DE SÉRIE : 482209 _x000a_MARCA : ITAIPU _x000a_DATA FABRICAÇÃO : 11/2022 _x000a_IMPEDANCIA : 3.64 _x000a_POS. TAP : 02 _x000a_ _x000a_TRAFO INSTALADO' _x000a_POTÊNCIA : 150KVA _x000a_TENSÃO :_x0009_ 13.8KV _x000a_Nº ENERGISA (CITD) : 143631 _x000a_Nº DE SÉRIE : 260161 _x000a_MARCA : ITAM _x000a_DATA FABRICAÇÃO : 10/2024 _x000a_IMPEDANCIA : 3.41 _x000a_POS. TAP : 02 _x000a_ _x000a_ _x000a_ _x000a_A PEDIDO DO SR. JOELSON O SERVIÇO NESSA O.S FOI LANÇADA E PROTOCOLADA DENTRO DA O.S ETO-RD-PS 000245/2026 PARA PAGAMENTO!"/>
  </r>
  <r>
    <x v="210"/>
    <s v="jan"/>
    <x v="3"/>
    <x v="16"/>
    <s v="EXPURGO"/>
    <x v="0"/>
    <s v="esteira 1.582"/>
    <s v="SEM OBRA — PASSADOS 60 DIAS"/>
    <n v="5730365013"/>
    <s v="ENC-MPPS01  000021/2026"/>
    <m/>
    <s v="2026-01-29 02:32"/>
    <s v="2026-01-29 14:30"/>
    <s v="FORMS SUBST DE TRANSFORMADOR"/>
    <s v="ETO-RD-PS"/>
    <s v="PARAISO DO TOCANTINS"/>
    <s v="QUEIMADO"/>
    <s v="NÃO IDENTIFICADO"/>
    <s v="i260161"/>
    <m/>
    <s v="não"/>
    <s v="CONEXAO/JUMPER"/>
    <s v="JUMPER BT"/>
    <m/>
    <m/>
    <s v="não"/>
    <s v="leitura caso a caso"/>
    <s v="Fora do indicador: obra não gerada há 188 dias — a prova de material não vai mais chegar."/>
    <s v="SEGUE SS PARA SUBSTITUIÇÃO DO TRAFO [5730365013]  NA RDU DE PARAISO"/>
    <s v="SS ETO-RD-PS 77/2026 _x000a_TR 5730365013 _x000a_ _x000a_ _x000a_ _x000a_ _x000a_ _x000a_TRAFO RETIRADO _x000a_POTÊNCIA : 150KVA _x000a_TENSÃO :_x0009_ 13.8KV _x000a_Nº ENERGISA (CITD) : 143631 _x000a_Nº DE SÉRIE : 260161 _x000a_MARCA : ITAM _x000a_DATA FABRICAÇÃO : 10/2024 _x000a_IMPEDANCIA : 3.41 _x000a_POS. TAP : 02 _x000a_ _x000a_TRAFO INSTALADO' _x000a_POTÊNCIA : 150KVA _x000a_TENSÃO :_x0009_ 13.8KV _x000a_Nº ENERGISA (CITD) : 143648 _x000a_Nº DE SÉRIE : 1260178 _x000a_MARCA : ITAM _x000a_DATA FABRICAÇÃO : 10/2024 _x000a_IMPEDANCIA : 3.60 _x000a_POS. TAP : 02 _x000a_"/>
  </r>
  <r>
    <x v="211"/>
    <s v="fev"/>
    <x v="3"/>
    <x v="16"/>
    <s v="EXPURGO"/>
    <x v="1"/>
    <s v="esteira 1.582"/>
    <s v="SEM OBRA — PASSADOS 60 DIAS"/>
    <n v="5727402001"/>
    <s v="DG-MPPO01  000042/2026"/>
    <m/>
    <s v="2026-02-05 07:21"/>
    <s v="2026-02-05 10:40"/>
    <s v="FORMS SUBST DE TRANSFORMADOR"/>
    <s v="DG-RD-PO"/>
    <s v="PORTO NACIONAL"/>
    <s v="QUEIMADO"/>
    <s v="VAZAMENTO DE ÓLEO"/>
    <s v="448239"/>
    <n v="1637874"/>
    <s v="sim"/>
    <m/>
    <m/>
    <m/>
    <m/>
    <s v="não"/>
    <s v="leitura caso a caso"/>
    <s v="Fora do indicador: obra não gerada há 181 dias — a prova de material não vai mais chegar."/>
    <s v="TR 5727402001TRRAFO COM VAZAMENTO DE OLEO JA FOI COLADO NECESSARIO SUBSTITUIÇÃO DO MESMO 75KVA SE POSSIVEL LEVAR 112,5TENSAO 13800 BOA VENTURA"/>
    <s v="medido_ _x000a_emergencial_ _x000a_ _x000a_ _x000a_TR 5727402001 _x000a_TRRAFO COM VAZAMENTO DE OLEO JA FOI COLADO  _x000a_NECESSARIO SUBSTITUIÇÃO DO MESMO  _x000a_75KVA  _x000a_SE POSSIVEL LEVAR 112,5 _x000a_TENSAO  _x000a_13800 _x000a_ BOA VENTURA _x000a_ _x000a_Trafo atendido na obra 0312600138, obra do priorizador _x000a_"/>
  </r>
  <r>
    <x v="212"/>
    <s v="mar"/>
    <x v="3"/>
    <x v="16"/>
    <s v="EXPURGO"/>
    <x v="9"/>
    <s v="esteira 1.582"/>
    <s v="SEM OBRA — PASSADOS 60 DIAS"/>
    <n v="5700248196"/>
    <s v="ETO-RD-PA  001197/2026"/>
    <n v="112600710"/>
    <s v="2026-03-16 09:04"/>
    <s v="2026-03-16 17:44"/>
    <s v="FORMS SUBST DE TRANSFORMADOR"/>
    <s v="ETO-RD-PA"/>
    <s v="LAGOA DO TOCANTINS"/>
    <s v="QUEIMADO"/>
    <s v="NÃO IDENTIFICADO"/>
    <s v="896247"/>
    <n v="1588016"/>
    <s v="sim"/>
    <s v="TRANSFORMADOR"/>
    <s v="QUEIMADO POR DESCARGA ATMOSFERICA"/>
    <s v="TRANSFORMADOR"/>
    <s v="QUEIMADO POR DESCARGA ATMOSFERICA"/>
    <s v="SIM"/>
    <s v="leitura caso a caso"/>
    <s v="Fora do indicador: obra não gerada há 142 dias — a prova de material não vai mais chegar."/>
    <s v="segue ss de 01 trafo de 15 kvar e 01 para raio queimado da rede de 34.500kv para ser subistituido pela equipe de manutencão acesso para caminhonete cliente penalizado 01 equipe que atendeu 151op01 cel, 63992629128/984188058 favor agilizar o atendimento"/>
    <s v="segue ss de 01 trafo de 15 kvar e 01 para raio queimado da rede de 34.500kv para ser subistituido pela equipe de manutencão acesso para caminhonete cliente penalizado 01 equipe que atendeu 151op01 cel, 63992629128/984188058 favor agilizar o atendimento"/>
  </r>
  <r>
    <x v="213"/>
    <s v="abr"/>
    <x v="3"/>
    <x v="16"/>
    <s v="EXPURGO"/>
    <x v="1"/>
    <s v="esteira 1.582"/>
    <s v="SEM OBRA — PASSADOS 60 DIAS"/>
    <n v="5705081122"/>
    <s v="DLP-MLPA01  000141/2026"/>
    <m/>
    <s v="2026-04-18 22:54"/>
    <s v="2026-04-20 18:00"/>
    <s v="AVISO DE ANOMALIA"/>
    <s v="DOLP-RD-PA"/>
    <s v="PALMAS"/>
    <s v="AVARIADO"/>
    <s v="VAZAMENTO DE ÓLEO"/>
    <s v="0"/>
    <n v="0"/>
    <s v="não"/>
    <m/>
    <m/>
    <s v="CHAVE FACA"/>
    <s v="FALHA EM CONEXAO/LAMINA"/>
    <s v="não"/>
    <s v="leitura caso a caso"/>
    <s v="Fora do indicador: obra não gerada há 109 dias — a prova de material não vai mais chegar."/>
    <s v="Trafo com vazamento e oleo"/>
    <s v="MEDIDO_ _x000a_ _x000a_01. Baixado para consumo de material _x000a_ _x000a_Trafo com vazamento e oleo _x000a_ _x000a_DADOS ATENDIMENTO _x000a_ _x000a_N° DOCUMENTO SS: DOLP-RD-PA 000466/2026 _x000a_N° DOCUMENTO OS: DLP-MLPA01 000141/2026 _x000a_ _x000a_TIPO DA INTERVENÇÃO: MANUTENÇÃO _x000a_TIPO DO SERVIÇO: SUBSTITUIÇÃO DE TRANSFORMADOR E MELHORIA DE MALHA DE ATERRAMENTO _x000a_DATA PROGRAMADA DA ATIVIDADE: 20/04/2026 _x000a_HORARIO PREVISTO DA ATIVIDADE: 08:00 ÀS 18:00 _x000a_CIDADE: RIO SONO ALIMENTADOR: AL01099059 - TRANSFORMADOR: 5705081122 _x000a_ _x000a_EQUIPE: DOLP-MLPA01 _x000a_CONTATO DA EQUIPE: 63 9296-9610 _x000a_COMPOSIÇÃO DA EQUIPE: _x000a_1 - ALVARO PEREIRA DE MELO _x000a_2 - JOSIMAR DOS SANTOS LIMA _x000a_ _x000a_ "/>
  </r>
  <r>
    <x v="214"/>
    <s v="mai"/>
    <x v="3"/>
    <x v="16"/>
    <s v="EXPURGO"/>
    <x v="1"/>
    <s v="esteira 1.582"/>
    <s v="SEM OBRA — PASSADOS 60 DIAS"/>
    <n v="5700014081"/>
    <s v="ENC-MPAG01  000191/2026"/>
    <m/>
    <s v="2026-05-09 12:00"/>
    <s v="2026-05-10 16:53"/>
    <s v="AVISO DE ANOMALIA"/>
    <s v="ETO-RD-AG"/>
    <s v="ITAGUATINS"/>
    <s v="SOBRECARGA PREVENTIVA"/>
    <s v="VAZAMENTO DE ÓLEO"/>
    <s v="368025"/>
    <n v="249949"/>
    <s v="sim"/>
    <s v="NIVEL DE TENSAO"/>
    <s v="REGULARIZADO-DEFEITO EM EQUIPAMENTO (TRAFO, CAPACITOR,REGULADOR)"/>
    <m/>
    <m/>
    <s v="não"/>
    <s v="leitura caso a caso"/>
    <s v="Fora do indicador: obra não gerada há 88 dias — a prova de material não vai mais chegar."/>
    <s v="Segue SS para trocar transformador 5700014081 com vazemento de Oleo Potencia 25 KVA 7.9 KVAcesso livreendereço: IND LOTEAMENTO PROJETO DE ASSENTAMENTO REIS, 0 - RUA 01"/>
    <s v="Segue SS para trocar transformador 5700014081 com vazemento de Oleo  _x000a_Potencia 25 KVA  _x000a_7.9 KV _x000a_Acesso livre _x000a_endereço: IND LOTEAMENTO PROJETO DE ASSENTAMENTO REIS, 0 - RUA 01"/>
  </r>
  <r>
    <x v="215"/>
    <s v="jun"/>
    <x v="4"/>
    <x v="17"/>
    <s v="EXPURGO"/>
    <x v="0"/>
    <s v="esteira 1.582"/>
    <s v="SS DUPLICADA"/>
    <n v="5746904092"/>
    <s v="DLP-MLPA01  000170/2026"/>
    <n v="112600583"/>
    <s v="2026-06-19 22:00"/>
    <s v="2026-06-20 18:00"/>
    <s v="FORMS SUBST DE TRANSFORMADOR"/>
    <s v="DOLP-RD-PA"/>
    <s v="NOVO ACORDO"/>
    <s v="QUEIMADO"/>
    <s v="NÃO IDENTIFICADO"/>
    <s v="N/A"/>
    <m/>
    <s v="não"/>
    <s v="TRANSFORMADOR"/>
    <s v="QUEIMADO POR CAUSA NAO IDENTIFICADA"/>
    <m/>
    <m/>
    <s v="SIM"/>
    <s v="leitura caso a caso"/>
    <s v="Fora do indicador: divide o mesmo evento e o mesmo transformador com DOLP-RD-PA 00686/2026 — a interrupção prova uma troca, não duas."/>
    <s v="segue ss de 01 trafo de 25 kvar da rede de 34,500kv queimado para ser subistituido pela equipe de manutencão acesso  para caminhonete cliente penalizado  01 equipe que atendeu 092op01 chave de referencia 5746904092"/>
    <s v="MEDIDO_ _x000a_ _x000a_EMERGENCIAL_ _x000a_ _x000a_ATIVO: 190.02618518 _x000a_LOCALIZAÇÃO: 190-22041398 _x000a_ _x000a_segue ss de 01 trafo de 25 kvar da rede de 34,500kv queimado para ser subistituido pela equipe de manutencão acesso  para caminhonete cliente penalizado  01 equipe que atendeu 092op01 chave de referencia 5746904092 _x000a_ _x000a_DADOS ATENDIMENTO _x000a_ _x000a_N° DOCUMENTO SS: DOLP-RD-PA 000690/2026 _x000a_ _x000a_TIPO DA INTERVENÇÃO: MANUTENÇÃO EMERGENCIAL _x000a_DATA PROGRAMADA DA ATIVIDADE: 20/06/2026 _x000a_HORARIO PREVISTO DA ATIVIDADE: 08:00 ÀS 18:00 _x000a_CIDADE: PALMAS - ALIMENTADOR: LD03046026 - EQUIPAMENTO REFERENCIA:  5746904092 _x000a_ATIVIDADE PREVISTA: SUBSTIT"/>
  </r>
  <r>
    <x v="216"/>
    <s v="abr"/>
    <x v="4"/>
    <x v="18"/>
    <s v="EXPURGO"/>
    <x v="10"/>
    <s v="esteira 1.582"/>
    <s v="SEM TROCA (NÃO SUBSTITUÍDO)"/>
    <n v="5701196040"/>
    <s v="ENC-MLAR03  000060/2026"/>
    <n v="612600476"/>
    <s v="2026-04-28 10:38"/>
    <s v="2026-04-29 17:00"/>
    <s v="FORMS SUBST DE TRANSFORMADOR"/>
    <s v="ETO-RD-AR"/>
    <s v="ARAGOMINAS"/>
    <s v="FURTADO"/>
    <s v="FURTADO"/>
    <s v="S/N"/>
    <n v="828162"/>
    <s v="sim"/>
    <m/>
    <m/>
    <m/>
    <m/>
    <s v="não"/>
    <s v="leitura caso a caso"/>
    <s v="Fora do indicador: a SS está gravada no sistema como construcao."/>
    <s v="Bom dia!Senhores, enviar equipe de manutenção para instalar trafo 5701196040 5kva 34,5kv.uc: 3691029 Fazenda dois irmãosunidade estava destiva trafo foi retirado, cliente solicitou uma nova ligação"/>
    <s v="ETO-RD-AR 757/2026 _x000a_TRAFO 5701196040 _x000a_TRAFO INSTALADO _x000a_POTÊNCIA : 25 KVA _x000a_TENSÃO :_x0009_ 34.5 KV _x000a_Nº ENERGISA (CITD) : 150439 _x000a_Nº DE SÉRIE : 828162 _x000a_MARCA : TRAEL _x000a_DATA FABRICAÇÃO : 02/2026 _x000a_IMPEDANCIA : 3,0 _x000a_POS. TAP : 05 _x000a_"/>
  </r>
  <r>
    <x v="217"/>
    <s v="mai"/>
    <x v="4"/>
    <x v="18"/>
    <s v="EXPURGO"/>
    <x v="11"/>
    <s v="esteira 1.582"/>
    <s v="SEM TROCA (NÃO SUBSTITUÍDO)"/>
    <n v="5700211073"/>
    <s v="ENC-LMPS01  000122/2026"/>
    <n v="212600477"/>
    <s v="2026-05-12 17:15"/>
    <s v="2026-05-13 17:07"/>
    <s v="AVISO DE ANOMALIA"/>
    <s v="ENC-RD-PS"/>
    <s v="LAGOA DA CONFUSAO"/>
    <s v="POSTE"/>
    <s v="NÃO IDENTIFICADO"/>
    <s v="186272"/>
    <m/>
    <s v="não"/>
    <m/>
    <m/>
    <m/>
    <m/>
    <s v="não"/>
    <s v="leitura caso a caso"/>
    <s v="Fora do indicador: o texto declara desativação do posto de transformação."/>
    <s v="DESATIVAÇÃO DE TRANSFORMADOR ABANDONADO, SEM CONSUMIDOR NO LOCAL."/>
    <s v="SS ENC-RD-PS 508/2026   DESATIVAÇÃO DE TRANSFORMADOR ABANDONADO, SEM CONSUMIDOR NO LOCAL. _x000a_TRAFO: 5700211073 _x000a_ _x000a_ _x000a_ _x000a_TRAFO RETIRADO _x000a_POTÊNCIA : 30KVA _x000a_TENSÃO :_x0009_ 34.5KV _x000a_Nº ENERGISA (CITD) : ILEGIVEL _x000a_Nº DE SÉRIE : 186272 _x000a_MARCA : ABB _x000a_DATA FABRICAÇÃO : 08/2002 _x000a_IMPEDANCIA : 3.95 _x000a_POS. TAP : 02 _x000a_"/>
  </r>
  <r>
    <x v="218"/>
    <s v="jun"/>
    <x v="4"/>
    <x v="18"/>
    <s v="EXPURGO"/>
    <x v="11"/>
    <s v="esteira 1.582"/>
    <s v="SEM TROCA (NÃO SUBSTITUÍDO)"/>
    <n v="5701422122"/>
    <s v="DLP-MPPA01  000194/2026"/>
    <n v="112600592"/>
    <s v="2026-06-09 10:46"/>
    <s v="2026-06-09 17:00"/>
    <s v="SOLICITAÇÃO DE SERVIÇO"/>
    <s v="DOLP-RD-PA"/>
    <s v="PALMAS"/>
    <m/>
    <m/>
    <s v="291738"/>
    <n v="0"/>
    <s v="não"/>
    <m/>
    <m/>
    <m/>
    <m/>
    <s v="não"/>
    <s v="leitura caso a caso"/>
    <s v="Fora do indicador: a SS está gravada no sistema como desativacao."/>
    <s v="Desativar posto de transformação, pois o mesmo está deteriorando com as ações do tempo."/>
    <s v="MEDIDO_ _x000a_ _x000a_EMERGENCIAL_ _x000a_ _x000a_ID: 190.02359154 _x000a_LOCALIZAÇÃO: 190-13668514 _x000a_TRAFO: 5701422122 _x000a_ _x000a_Desativar posto de transformação, pois o mesmo está deteriorando com as ações do tempo. _x000a_ _x000a_DADOS DO ATENDIMENTO: _x000a_ _x000a_EQUIPE: 833012-DLP-MPPA02 _x000a_ENCARREGADO: JULIO IGNACIO _x000a_DATA: 09/06/2026"/>
  </r>
  <r>
    <x v="219"/>
    <s v="jul"/>
    <x v="4"/>
    <x v="18"/>
    <s v="EXPURGO"/>
    <x v="1"/>
    <s v="leitura do texto (jan–ago)"/>
    <s v="SEM TROCA (NÃO SUBSTITUÍDO)"/>
    <n v="5700085133"/>
    <s v="ETO-RD-AG  000932/2026"/>
    <m/>
    <s v="2026-07-16 16:20"/>
    <s v="2026-09-04 06:44"/>
    <s v="AVISO DE ANOMALIA"/>
    <s v="ETO-RD-AG"/>
    <s v="CARRASCO BONITO"/>
    <s v="SOBRECARGA PREVENTIVA"/>
    <s v="SOBRECARGA"/>
    <m/>
    <m/>
    <s v="não"/>
    <m/>
    <m/>
    <m/>
    <m/>
    <s v="não"/>
    <s v="leitura caso a caso"/>
    <s v="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
    <s v="SUBSTITUIR Transformador 5700085133 danificado com a bucha do secundário danificada e com vazamento de óleo."/>
    <s v="PLANO DE MEDIDA - Realizar substituição do trafo 5700085133  de 15 kVA para 25 kVA - DIRECIONAR PARA PROJETO 8385"/>
  </r>
  <r>
    <x v="220"/>
    <s v="jul"/>
    <x v="4"/>
    <x v="18"/>
    <s v="EXPURGO"/>
    <x v="1"/>
    <s v="leitura do texto (jan–ago)"/>
    <s v="SEM TROCA (NÃO SUBSTITUÍDO)"/>
    <n v="5719958068"/>
    <s v="ETO-RD-AG  000668/2026"/>
    <n v="662600468"/>
    <s v="2026-07-22 13:11"/>
    <s v="2026-07-24 07:50"/>
    <s v="AVISO DE ANOMALIA"/>
    <s v="ETO-RD-AG"/>
    <s v="BURITI DO TOCANTINS"/>
    <s v="SOBRECARGA PREVENTIVA"/>
    <s v="VAZAMENTO DE ÓLEO"/>
    <m/>
    <m/>
    <s v="não"/>
    <m/>
    <m/>
    <m/>
    <m/>
    <s v="não"/>
    <s v="leitura caso a caso"/>
    <s v="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
    <s v="Segue SS para correção de vazamento de oleo no trafo 5719958068."/>
    <s v="PLANO DE MEDIDA - Relaizar substituição do trafo 5719958068 de 15KVA para 25KVA - Direcionar serviço para o projeto SIGCO 25983."/>
  </r>
  <r>
    <x v="221"/>
    <s v="jul"/>
    <x v="4"/>
    <x v="18"/>
    <s v="EXPURGO"/>
    <x v="7"/>
    <s v="leitura do texto (jan–ago)"/>
    <s v="SEM TROCA (NÃO SUBSTITUÍDO)"/>
    <n v="5703676004"/>
    <s v="ENC-MLAR01  000252/2026"/>
    <n v="612600662"/>
    <s v="2026-07-02 12:58"/>
    <s v="2026-07-02 21:45"/>
    <s v="AVISO DE ANOMALIA"/>
    <s v="ETO-RD-AR"/>
    <s v="ARAGUAINA"/>
    <s v="QUEIMADO"/>
    <s v="BUCHA DANIFICADA"/>
    <s v="388043"/>
    <n v="515195"/>
    <s v="sim"/>
    <m/>
    <m/>
    <m/>
    <m/>
    <s v="não"/>
    <s v="leitura caso a caso"/>
    <s v="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
    <s v="boa tarde!Segue SS para substituir trafo 5703676004 150 kva na RDU de Araguaina, mesmo queimado bucha secundaria da fase A"/>
    <s v="ETO-RD-AR 1051/2026 _x000a_TRAFO 5703676004 _x000a_ _x000a_NÃO FOI REALIZADA A TROCA DO TRANSFORMADOR, POIS O EQUIPAMENTO NÃO ESTAVA QUEIMADO. FOI EXECUTADO APENAS MANUTENÇÃO CORRETIVA, INCLUINDO A SUBSTITUIÇÃO DOS PARA-RAIOS E A MEDIÇÃO DO ATERRAMENTO."/>
  </r>
  <r>
    <x v="222"/>
    <s v="ago"/>
    <x v="4"/>
    <x v="18"/>
    <s v="EXPURGO"/>
    <x v="1"/>
    <s v="leitura do texto (jan–ago)"/>
    <s v="SEM TROCA (NÃO SUBSTITUÍDO)"/>
    <n v="5700004152"/>
    <s v="DG-RD-PO  000008/2026"/>
    <m/>
    <s v="2026-08-27 18:22"/>
    <s v="2026-08-28 10:00"/>
    <s v="AVISO DE ANOMALIA"/>
    <s v="DG-RD-PO"/>
    <s v="SANTA ROSA DO TOCANTINS"/>
    <s v="AVARIADO"/>
    <s v="VAZAMENTO DE ÓLEO"/>
    <s v="1"/>
    <n v="1"/>
    <s v="não"/>
    <m/>
    <m/>
    <m/>
    <m/>
    <s v="não"/>
    <s v="leitura caso a caso"/>
    <s v="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
    <s v="Segue SS de TR 5700004152 150KVA/34.5KV com vazamento de óleo para devidas tratativas com equipe de manutenção.RDU Santa Rosa152OP01  63 98402-9495"/>
    <s v="Segue SS de TR 5700004152 150KVA/34.5KV com vazamento de óleo para devidas tratativas com equipe de manutenção. _x000a_RDU Santa Rosa _x000a_152OP01  63 98402-9495 _x000a_   _x000a_FOI O REPARO COM COLA E FITA E INSTALDO O P600 _x000a_ _x000a_"/>
  </r>
  <r>
    <x v="223"/>
    <s v="ago"/>
    <x v="4"/>
    <x v="18"/>
    <s v="EXPURGO"/>
    <x v="0"/>
    <s v="leitura do texto (jan–ago)"/>
    <s v="SEM TROCA (NÃO SUBSTITUÍDO)"/>
    <n v="5707542122"/>
    <s v="DLP-MLPA02  000117/2026"/>
    <m/>
    <s v="2026-08-02 15:39"/>
    <s v="2026-08-03 18:00"/>
    <s v="FORMS SUBST DE TRANSFORMADOR"/>
    <s v="DOLP-RD-PA"/>
    <s v="PALMAS"/>
    <s v="QUEIMADO"/>
    <s v="NÃO IDENTIFICADO"/>
    <s v="00"/>
    <n v="0"/>
    <s v="não"/>
    <s v="TRANSFORMADOR"/>
    <s v="CABO ATERRAMENTO PARTIDO"/>
    <s v="TRANSFORMADOR"/>
    <s v="CABO ATERRAMENTO PARTIDO"/>
    <s v="não"/>
    <s v="leitura caso a caso"/>
    <s v="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
    <s v="Segue SS Para substituição de trafo queimado Trafo/ 5707542122  Pontencia 15KVA Monofásico tensão / 19,9 Paraio BomAcesso livre para camionete.Chacara racho do vale Unidade/ 28174951telefone equipe 122OP40 62 98468094"/>
    <s v="MEDIDO_ _x000a_ _x000a_ _x000a_1. Baixado para consumo de material _x000a_ _x000a_Segue SS Para substituição de trafo queimado  _x000a_Trafo/ 5707542122  Pontencia 15KVA Monofásico _x000a_ tensão / 19,9 Paraio Bom _x000a_Acesso livre para camionete. _x000a_Chacara racho do vale  _x000a_Unidade/ 28174951 _x000a_telefone equipe 122OP40 62 98468094 _x000a_ _x000a_ _x000a_DADOS DO ATENDIMENTO: _x000a_ _x000a_EQUIPE: 933005 - DLP-MLPA02 _x000a_LIDER: ALVARO PEREIRA _x000a_DATA: 03/08/2026 _x000a_ _x000a_ _x000a_ _x000a_SERVIÇO NÃO EXECUTADO POIS O MESMO ESTAVA NORMAL EM COMPRA"/>
  </r>
  <r>
    <x v="224"/>
    <s v="ago"/>
    <x v="4"/>
    <x v="18"/>
    <s v="EXPURGO"/>
    <x v="1"/>
    <s v="leitura do texto (jan–ago)"/>
    <s v="SEM TROCA (NÃO SUBSTITUÍDO)"/>
    <n v="5721380010"/>
    <s v="DLP-MLPA02  000145/2026"/>
    <n v="112600773"/>
    <s v="2026-08-11 15:53"/>
    <s v="2026-08-13 18:00"/>
    <s v="AVISO DE ANOMALIA"/>
    <s v="DOLP-RD-PA"/>
    <s v="LAJEADO"/>
    <s v="AVARIADO"/>
    <s v="NÃO IDENTIFICADO"/>
    <s v="372509"/>
    <n v="0"/>
    <s v="não"/>
    <m/>
    <m/>
    <m/>
    <m/>
    <s v="não"/>
    <s v="leitura caso a caso"/>
    <s v="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
    <s v="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
    <s v="MEDIDO_ _x000a_ _x000a_EMERGENCIAL_ _x000a_ _x000a_Após decisão em ação judicial, segue solicitação para remoção do ativo elétrico (transformador) relacionado à demanda em questão. _x000a_ _x000a_Encaminho em anexo a Ordem Judicial para conhecimento e providências cabíveis. _x000a_ _x000a_Solicito a avaliação e programação da execução do serviço, conforme determinação judicial. TF 5721380010 _x000a_ _x000a_ _x000a_DADOS DO ATENDIMENTO: _x000a_ _x000a_EQUIPE: DLP-MLPA04 _x000a_LIDER: OLESMAR _x000a_DATA: 13/08/2026"/>
  </r>
  <r>
    <x v="225"/>
    <s v="ago"/>
    <x v="4"/>
    <x v="18"/>
    <s v="EXPURGO"/>
    <x v="7"/>
    <s v="leitura do texto (jan–ago)"/>
    <s v="SEM TROCA (NÃO SUBSTITUÍDO)"/>
    <n v="5710348122"/>
    <s v="DLP-MPPA01  000276/2026"/>
    <m/>
    <s v="2026-08-11 20:39"/>
    <s v="2026-08-12 18:00"/>
    <s v="FORMS SUBST DE TRANSFORMADOR"/>
    <s v="DOLP-RD-PA"/>
    <s v="PALMAS"/>
    <s v="QUEIMADO"/>
    <s v="NÃO IDENTIFICADO"/>
    <s v="00"/>
    <n v="0"/>
    <s v="não"/>
    <s v="TRANSFORMADOR"/>
    <s v="QUEIMADO POR CAUSA NAO IDENTIFICADA"/>
    <s v="TRANSFORMADOR"/>
    <s v="QUEIMADO POR CAUSA NAO IDENTIFICADA"/>
    <s v="não"/>
    <s v="leitura caso a caso"/>
    <s v="O executante registrou na OS que o transformador não estava queimado, o formulário não traz série nem tombamento (00) e a observação da Crítica diz que a equipe mediu, conferiu, encontrou tensão e trafo normais e não substituiu. Equipamento permaneceu em serviço."/>
    <s v="Segue SS para substituição de transformador queimado Trafo  5710348122 Monofásico.Pontencia : 25 kVA tensão :  11.9 loteamento coquerinho"/>
    <s v="MEDIDO_ _x000a_ _x000a_ _x000a_ _x000a_01. Baixado para consumo de material  _x000a_ _x000a_Segue SS para substituição de transformador queimado  _x000a_Trafo  5710348122 Monofásico. _x000a_Pontencia : 25 kVA  _x000a_tensão :  11.9  _x000a_ _x000a_loteamento coquerinho _x000a_ _x000a_ _x000a_DADOS DO ATENDIMENTO: _x000a_ _x000a_EQUIPE: 833006 - DLP-MPPA01 _x000a_ENCARREGADO: IBANEZ RODRIGUES _x000a_DATA: 11/08/2026 _x000a_ _x000a_ _x000a_&quot;Informo que, durante o atendimento da DOLP-RD-PA 827/2026, foi constatado que o transformador indicado na nota não estava queimado, conforme havia sido informado inicialmente.&quot; _x000a_ _x000a_ _x000a_"/>
  </r>
  <r>
    <x v="226"/>
    <s v="ago"/>
    <x v="4"/>
    <x v="18"/>
    <s v="EXPURGO"/>
    <x v="1"/>
    <s v="leitura do texto (jan–ago)"/>
    <s v="SEM TROCA (NÃO SUBSTITUÍDO)"/>
    <n v="5700565065"/>
    <s v="ETO-RD-AG  000730/2026"/>
    <n v="662600493"/>
    <s v="2026-08-04 17:52"/>
    <s v="2026-08-04 18:38"/>
    <s v="AVISO DE ANOMALIA"/>
    <s v="ETO-RD-AG"/>
    <s v="AXIXA DO TOCANTINS"/>
    <s v="SOBRECARGA PREVENTIVA"/>
    <s v="VAZAMENTO DE ÓLEO"/>
    <m/>
    <m/>
    <s v="não"/>
    <s v="TRANSFORMADOR"/>
    <s v="VAZAMENTO DE OLEO / TANQUE DETERIORADO"/>
    <s v="TRANSFORMADOR"/>
    <s v="VAZAMENTO DE OLEO / TANQUE DETERIORADO"/>
    <s v="não"/>
    <s v="leitura caso a caso"/>
    <s v="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
    <s v="SEGUE SS PARA SUBSTITUIR TRAFO 5700565065 NA RDR DE AXIXAR COM VAZAMENTO DE OLÉO NA REGIÃO DO PA STA JULIANA"/>
    <s v="SEGUE SS PARA SUBSTITUIR TRAFO 5700565065 NA RDR DE AXIXAR COM VAZAMENTO DE OLÉO NA REGIÃO DO PA STA JULIANA _x000a_ _x000a_ _x000a_PLANO DE MEDIDA - Realizar substituição do trafo 5700565065 de 5 kVA para 15 kVA. DIRECIONAR PARA O PROJETO SIGCO 25983."/>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DinCategoria" cacheId="1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4:B10" firstHeaderRow="1" firstDataRow="1" firstDataCol="1"/>
  <pivotFields count="30">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6">
        <item t="data" sd="1" x="0"/>
        <item t="data" sd="1" x="1"/>
        <item t="data" sd="1" x="2"/>
        <item t="data" sd="1" x="3"/>
        <item t="data" sd="1" x="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2"/>
  </rowFields>
  <dataFields count="1">
    <dataField name="Contagem de SS" fld="0"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DinMotivo" cacheId="1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4:B30" firstHeaderRow="1" firstDataRow="1" firstDataCol="2"/>
  <pivotFields count="30">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6">
        <item t="data" sd="1" x="0"/>
        <item t="data" sd="1" x="1"/>
        <item t="data" sd="1" x="2"/>
        <item t="data" sd="1" x="3"/>
        <item t="data" sd="1" x="4"/>
        <item t="default" sd="1"/>
      </items>
    </pivotField>
    <pivotField axis="axisRow" showDropDowns="1" compact="1" outline="1" subtotalTop="1" dragToRow="1" dragToCol="1" dragToPage="1" dragToData="1" dragOff="1" showAll="0" topAutoShow="1" itemPageCount="10" sortType="manual" defaultSubtotal="1">
      <items count="2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2"/>
    <field x="3"/>
  </rowFields>
  <dataFields count="1">
    <dataField name="Contagem de SS" fld="0" subtotal="count" showDataAs="normal" baseField="0"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DinTextoMotivo" cacheId="1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4:B45" firstHeaderRow="1" firstDataRow="1" firstDataCol="2"/>
  <pivotFields count="30">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efault" sd="1"/>
      </items>
    </pivotField>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3">
        <item t="data" sd="1" x="0"/>
        <item t="data" sd="1" x="1"/>
        <item t="data" sd="1" x="2"/>
        <item t="data" sd="1" x="3"/>
        <item t="data" sd="1" x="4"/>
        <item t="data"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5"/>
    <field x="3"/>
  </rowFields>
  <dataFields count="1">
    <dataField name="Contagem de SS" fld="0" subtotal="count" showDataAs="normal" baseField="0" baseItem="0"/>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ela dinâmica2" cacheId="1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B16" firstHeaderRow="1" firstDataRow="1" firstDataCol="1"/>
  <pivotFields count="30">
    <pivotField dataField="1" showDropDowns="1" compact="1" outline="1" subtotalTop="1" dragToRow="1" dragToCol="1" dragToPage="1" dragToData="1" dragOff="1" showAll="0" topAutoShow="1" itemPageCount="10" sortType="manual" defaultSubtotal="1">
      <items count="228">
        <item t="data" sd="1" x="120"/>
        <item t="data" sd="1" x="0"/>
        <item t="data" sd="1" x="124"/>
        <item t="data" sd="1" x="199"/>
        <item t="data" sd="1" x="119"/>
        <item t="data" sd="1" x="125"/>
        <item t="data" sd="1" x="8"/>
        <item t="data" sd="1" x="9"/>
        <item t="data" sd="1" x="211"/>
        <item t="data" sd="1" x="10"/>
        <item t="data" sd="1" x="45"/>
        <item t="data" sd="1" x="46"/>
        <item t="data" sd="1" x="194"/>
        <item t="data" sd="1" x="62"/>
        <item t="data" sd="1" x="63"/>
        <item t="data" sd="1" x="179"/>
        <item t="data" sd="1" x="135"/>
        <item t="data" sd="1" x="78"/>
        <item t="data" sd="1" x="139"/>
        <item t="data" sd="1" x="115"/>
        <item t="data" sd="1" x="146"/>
        <item t="data" sd="1" x="152"/>
        <item t="data" sd="1" x="153"/>
        <item t="data" sd="1" x="154"/>
        <item t="data" sd="1" x="222"/>
        <item t="data" sd="1" x="30"/>
        <item t="data" sd="1" x="206"/>
        <item t="data" sd="1" x="207"/>
        <item t="data" sd="1" x="208"/>
        <item t="data" sd="1" x="1"/>
        <item t="data" sd="1" x="2"/>
        <item t="data" sd="1" x="31"/>
        <item t="data" sd="1" x="11"/>
        <item t="data" sd="1" x="200"/>
        <item t="data" sd="1" x="113"/>
        <item t="data" sd="1" x="193"/>
        <item t="data" sd="1" x="47"/>
        <item t="data" sd="1" x="15"/>
        <item t="data" sd="1" x="203"/>
        <item t="data" sd="1" x="204"/>
        <item t="data" sd="1" x="171"/>
        <item t="data" sd="1" x="64"/>
        <item t="data" sd="1" x="161"/>
        <item t="data" sd="1" x="79"/>
        <item t="data" sd="1" x="213"/>
        <item t="data" sd="1" x="195"/>
        <item t="data" sd="1" x="172"/>
        <item t="data" sd="1" x="173"/>
        <item t="data" sd="1" x="93"/>
        <item t="data" sd="1" x="94"/>
        <item t="data" sd="1" x="100"/>
        <item t="data" sd="1" x="27"/>
        <item t="data" sd="1" x="218"/>
        <item t="data" sd="1" x="176"/>
        <item t="data" sd="1" x="215"/>
        <item t="data" sd="1" x="223"/>
        <item t="data" sd="1" x="155"/>
        <item t="data" sd="1" x="106"/>
        <item t="data" sd="1" x="224"/>
        <item t="data" sd="1" x="225"/>
        <item t="data" sd="1" x="107"/>
        <item t="data" sd="1" x="108"/>
        <item t="data" sd="1" x="3"/>
        <item t="data" sd="1" x="126"/>
        <item t="data" sd="1" x="32"/>
        <item t="data" sd="1" x="33"/>
        <item t="data" sd="1" x="34"/>
        <item t="data" sd="1" x="35"/>
        <item t="data" sd="1" x="127"/>
        <item t="data" sd="1" x="166"/>
        <item t="data" sd="1" x="128"/>
        <item t="data" sd="1" x="209"/>
        <item t="data" sd="1" x="129"/>
        <item t="data" sd="1" x="48"/>
        <item t="data" sd="1" x="49"/>
        <item t="data" sd="1" x="50"/>
        <item t="data" sd="1" x="133"/>
        <item t="data" sd="1" x="65"/>
        <item t="data" sd="1" x="66"/>
        <item t="data" sd="1" x="16"/>
        <item t="data" sd="1" x="80"/>
        <item t="data" sd="1" x="23"/>
        <item t="data" sd="1" x="217"/>
        <item t="data" sd="1" x="101"/>
        <item t="data" sd="1" x="102"/>
        <item t="data" sd="1" x="28"/>
        <item t="data" sd="1" x="116"/>
        <item t="data" sd="1" x="167"/>
        <item t="data" sd="1" x="112"/>
        <item t="data" sd="1" x="122"/>
        <item t="data" sd="1" x="192"/>
        <item t="data" sd="1" x="123"/>
        <item t="data" sd="1" x="130"/>
        <item t="data" sd="1" x="51"/>
        <item t="data" sd="1" x="131"/>
        <item t="data" sd="1" x="170"/>
        <item t="data" sd="1" x="67"/>
        <item t="data" sd="1" x="180"/>
        <item t="data" sd="1" x="181"/>
        <item t="data" sd="1" x="182"/>
        <item t="data" sd="1" x="81"/>
        <item t="data" sd="1" x="95"/>
        <item t="data" sd="1" x="214"/>
        <item t="data" sd="1" x="174"/>
        <item t="data" sd="1" x="96"/>
        <item t="data" sd="1" x="183"/>
        <item t="data" sd="1" x="97"/>
        <item t="data" sd="1" x="184"/>
        <item t="data" sd="1" x="185"/>
        <item t="data" sd="1" x="186"/>
        <item t="data" sd="1" x="187"/>
        <item t="data" sd="1" x="196"/>
        <item t="data" sd="1" x="188"/>
        <item t="data" sd="1" x="142"/>
        <item t="data" sd="1" x="189"/>
        <item t="data" sd="1" x="219"/>
        <item t="data" sd="1" x="220"/>
        <item t="data" sd="1" x="226"/>
        <item t="data" sd="1" x="156"/>
        <item t="data" sd="1" x="109"/>
        <item t="data" sd="1" x="190"/>
        <item t="data" sd="1" x="36"/>
        <item t="data" sd="1" x="37"/>
        <item t="data" sd="1" x="168"/>
        <item t="data" sd="1" x="4"/>
        <item t="data" sd="1" x="38"/>
        <item t="data" sd="1" x="39"/>
        <item t="data" sd="1" x="169"/>
        <item t="data" sd="1" x="5"/>
        <item t="data" sd="1" x="12"/>
        <item t="data" sd="1" x="52"/>
        <item t="data" sd="1" x="114"/>
        <item t="data" sd="1" x="53"/>
        <item t="data" sd="1" x="13"/>
        <item t="data" sd="1" x="54"/>
        <item t="data" sd="1" x="68"/>
        <item t="data" sd="1" x="69"/>
        <item t="data" sd="1" x="70"/>
        <item t="data" sd="1" x="71"/>
        <item t="data" sd="1" x="17"/>
        <item t="data" sd="1" x="72"/>
        <item t="data" sd="1" x="73"/>
        <item t="data" sd="1" x="18"/>
        <item t="data" sd="1" x="74"/>
        <item t="data" sd="1" x="75"/>
        <item t="data" sd="1" x="76"/>
        <item t="data" sd="1" x="19"/>
        <item t="data" sd="1" x="82"/>
        <item t="data" sd="1" x="136"/>
        <item t="data" sd="1" x="83"/>
        <item t="data" sd="1" x="137"/>
        <item t="data" sd="1" x="138"/>
        <item t="data" sd="1" x="84"/>
        <item t="data" sd="1" x="85"/>
        <item t="data" sd="1" x="86"/>
        <item t="data" sd="1" x="216"/>
        <item t="data" sd="1" x="87"/>
        <item t="data" sd="1" x="88"/>
        <item t="data" sd="1" x="24"/>
        <item t="data" sd="1" x="89"/>
        <item t="data" sd="1" x="98"/>
        <item t="data" sd="1" x="175"/>
        <item t="data" sd="1" x="99"/>
        <item t="data" sd="1" x="162"/>
        <item t="data" sd="1" x="143"/>
        <item t="data" sd="1" x="177"/>
        <item t="data" sd="1" x="103"/>
        <item t="data" sd="1" x="144"/>
        <item t="data" sd="1" x="29"/>
        <item t="data" sd="1" x="197"/>
        <item t="data" sd="1" x="221"/>
        <item t="data" sd="1" x="147"/>
        <item t="data" sd="1" x="198"/>
        <item t="data" sd="1" x="148"/>
        <item t="data" sd="1" x="149"/>
        <item t="data" sd="1" x="164"/>
        <item t="data" sd="1" x="110"/>
        <item t="data" sd="1" x="157"/>
        <item t="data" sd="1" x="111"/>
        <item t="data" sd="1" x="191"/>
        <item t="data" sd="1" x="158"/>
        <item t="data" sd="1" x="160"/>
        <item t="data" sd="1" x="134"/>
        <item t="data" sd="1" x="20"/>
        <item t="data" sd="1" x="205"/>
        <item t="data" sd="1" x="90"/>
        <item t="data" sd="1" x="6"/>
        <item t="data" sd="1" x="40"/>
        <item t="data" sd="1" x="41"/>
        <item t="data" sd="1" x="42"/>
        <item t="data" sd="1" x="55"/>
        <item t="data" sd="1" x="56"/>
        <item t="data" sd="1" x="121"/>
        <item t="data" sd="1" x="57"/>
        <item t="data" sd="1" x="14"/>
        <item t="data" sd="1" x="58"/>
        <item t="data" sd="1" x="59"/>
        <item t="data" sd="1" x="60"/>
        <item t="data" sd="1" x="21"/>
        <item t="data" sd="1" x="91"/>
        <item t="data" sd="1" x="25"/>
        <item t="data" sd="1" x="140"/>
        <item t="data" sd="1" x="141"/>
        <item t="data" sd="1" x="104"/>
        <item t="data" sd="1" x="105"/>
        <item t="data" sd="1" x="145"/>
        <item t="data" sd="1" x="163"/>
        <item t="data" sd="1" x="7"/>
        <item t="data" sd="1" x="43"/>
        <item t="data" sd="1" x="44"/>
        <item t="data" sd="1" x="178"/>
        <item t="data" sd="1" x="132"/>
        <item t="data" sd="1" x="61"/>
        <item t="data" sd="1" x="201"/>
        <item t="data" sd="1" x="77"/>
        <item t="data" sd="1" x="22"/>
        <item t="data" sd="1" x="26"/>
        <item t="data" sd="1" x="92"/>
        <item t="data" sd="1" x="202"/>
        <item t="data" sd="1" x="117"/>
        <item t="data" sd="1" x="118"/>
        <item t="data" sd="1" x="150"/>
        <item t="data" sd="1" x="151"/>
        <item t="data" sd="1" x="159"/>
        <item t="data" sd="1" x="165"/>
        <item t="data" sd="1" x="212"/>
        <item t="data" sd="1" x="2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6">
        <item t="data" sd="1" x="1"/>
        <item t="data" sd="1" x="4"/>
        <item t="data" sd="1" x="3"/>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3">
        <item t="data" sd="1" x="2"/>
        <item t="data" sd="1" x="1"/>
        <item t="data" sd="1" x="10"/>
        <item t="data" sd="1" x="11"/>
        <item t="data" sd="1" x="3"/>
        <item t="data" sd="1" x="9"/>
        <item t="data" sd="1" x="7"/>
        <item t="data" sd="1" x="0"/>
        <item t="data" sd="1" x="8"/>
        <item t="data" sd="1" x="6"/>
        <item t="data" sd="1" x="5"/>
        <item t="data" sd="1" x="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5"/>
  </rowFields>
  <rowItems count="13">
    <i t="data" r="0" i="0">
      <x v="0"/>
    </i>
    <i t="data" r="0" i="0">
      <x v="1"/>
    </i>
    <i t="data" r="0" i="0">
      <x v="2"/>
    </i>
    <i t="data" r="0" i="0">
      <x v="3"/>
    </i>
    <i t="data" r="0" i="0">
      <x v="4"/>
    </i>
    <i t="data" r="0" i="0">
      <x v="5"/>
    </i>
    <i t="data" r="0" i="0">
      <x v="6"/>
    </i>
    <i t="data" r="0" i="0">
      <x v="7"/>
    </i>
    <i t="data" r="0" i="0">
      <x v="8"/>
    </i>
    <i t="data" r="0" i="0">
      <x v="9"/>
    </i>
    <i t="data" r="0" i="0">
      <x v="10"/>
    </i>
    <i t="data" r="0" i="0">
      <x v="11"/>
    </i>
    <i t="grand" r="0" i="0">
      <x v="0"/>
    </i>
  </rowItems>
  <colItems count="1">
    <i t="data" r="0" i="0"/>
  </colItems>
  <dataFields count="1">
    <dataField name="Contagem de SS" fld="0" subtotal="count" showDataAs="normal" baseField="0" baseItem="0"/>
  </dataField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ela dinâmica3" cacheId="1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D3:E33" firstHeaderRow="1" firstDataRow="1" firstDataCol="1"/>
  <pivotFields count="30">
    <pivotField dataField="1" showDropDowns="1" compact="1" outline="1" subtotalTop="1" dragToRow="1" dragToCol="1" dragToPage="1" dragToData="1" dragOff="1" showAll="0" topAutoShow="1" itemPageCount="10" sortType="manual" defaultSubtotal="1">
      <items count="228">
        <item t="data" sd="1" x="120"/>
        <item t="data" sd="1" x="0"/>
        <item t="data" sd="1" x="124"/>
        <item t="data" sd="1" x="199"/>
        <item t="data" sd="1" x="119"/>
        <item t="data" sd="1" x="125"/>
        <item t="data" sd="1" x="8"/>
        <item t="data" sd="1" x="9"/>
        <item t="data" sd="1" x="211"/>
        <item t="data" sd="1" x="10"/>
        <item t="data" sd="1" x="45"/>
        <item t="data" sd="1" x="46"/>
        <item t="data" sd="1" x="194"/>
        <item t="data" sd="1" x="62"/>
        <item t="data" sd="1" x="63"/>
        <item t="data" sd="1" x="179"/>
        <item t="data" sd="1" x="135"/>
        <item t="data" sd="1" x="78"/>
        <item t="data" sd="1" x="139"/>
        <item t="data" sd="1" x="115"/>
        <item t="data" sd="1" x="146"/>
        <item t="data" sd="1" x="152"/>
        <item t="data" sd="1" x="153"/>
        <item t="data" sd="1" x="154"/>
        <item t="data" sd="1" x="222"/>
        <item t="data" sd="1" x="30"/>
        <item t="data" sd="1" x="206"/>
        <item t="data" sd="1" x="207"/>
        <item t="data" sd="1" x="208"/>
        <item t="data" sd="1" x="1"/>
        <item t="data" sd="1" x="2"/>
        <item t="data" sd="1" x="31"/>
        <item t="data" sd="1" x="11"/>
        <item t="data" sd="1" x="200"/>
        <item t="data" sd="1" x="113"/>
        <item t="data" sd="1" x="193"/>
        <item t="data" sd="1" x="47"/>
        <item t="data" sd="1" x="15"/>
        <item t="data" sd="1" x="203"/>
        <item t="data" sd="1" x="204"/>
        <item t="data" sd="1" x="171"/>
        <item t="data" sd="1" x="64"/>
        <item t="data" sd="1" x="161"/>
        <item t="data" sd="1" x="79"/>
        <item t="data" sd="1" x="213"/>
        <item t="data" sd="1" x="195"/>
        <item t="data" sd="1" x="172"/>
        <item t="data" sd="1" x="173"/>
        <item t="data" sd="1" x="93"/>
        <item t="data" sd="1" x="94"/>
        <item t="data" sd="1" x="100"/>
        <item t="data" sd="1" x="27"/>
        <item t="data" sd="1" x="218"/>
        <item t="data" sd="1" x="176"/>
        <item t="data" sd="1" x="215"/>
        <item t="data" sd="1" x="223"/>
        <item t="data" sd="1" x="155"/>
        <item t="data" sd="1" x="106"/>
        <item t="data" sd="1" x="224"/>
        <item t="data" sd="1" x="225"/>
        <item t="data" sd="1" x="107"/>
        <item t="data" sd="1" x="108"/>
        <item t="data" sd="1" x="3"/>
        <item t="data" sd="1" x="126"/>
        <item t="data" sd="1" x="32"/>
        <item t="data" sd="1" x="33"/>
        <item t="data" sd="1" x="34"/>
        <item t="data" sd="1" x="35"/>
        <item t="data" sd="1" x="127"/>
        <item t="data" sd="1" x="166"/>
        <item t="data" sd="1" x="128"/>
        <item t="data" sd="1" x="209"/>
        <item t="data" sd="1" x="129"/>
        <item t="data" sd="1" x="48"/>
        <item t="data" sd="1" x="49"/>
        <item t="data" sd="1" x="50"/>
        <item t="data" sd="1" x="133"/>
        <item t="data" sd="1" x="65"/>
        <item t="data" sd="1" x="66"/>
        <item t="data" sd="1" x="16"/>
        <item t="data" sd="1" x="80"/>
        <item t="data" sd="1" x="23"/>
        <item t="data" sd="1" x="217"/>
        <item t="data" sd="1" x="101"/>
        <item t="data" sd="1" x="102"/>
        <item t="data" sd="1" x="28"/>
        <item t="data" sd="1" x="116"/>
        <item t="data" sd="1" x="167"/>
        <item t="data" sd="1" x="112"/>
        <item t="data" sd="1" x="122"/>
        <item t="data" sd="1" x="192"/>
        <item t="data" sd="1" x="123"/>
        <item t="data" sd="1" x="130"/>
        <item t="data" sd="1" x="51"/>
        <item t="data" sd="1" x="131"/>
        <item t="data" sd="1" x="170"/>
        <item t="data" sd="1" x="67"/>
        <item t="data" sd="1" x="180"/>
        <item t="data" sd="1" x="181"/>
        <item t="data" sd="1" x="182"/>
        <item t="data" sd="1" x="81"/>
        <item t="data" sd="1" x="95"/>
        <item t="data" sd="1" x="214"/>
        <item t="data" sd="1" x="174"/>
        <item t="data" sd="1" x="96"/>
        <item t="data" sd="1" x="183"/>
        <item t="data" sd="1" x="97"/>
        <item t="data" sd="1" x="184"/>
        <item t="data" sd="1" x="185"/>
        <item t="data" sd="1" x="186"/>
        <item t="data" sd="1" x="187"/>
        <item t="data" sd="1" x="196"/>
        <item t="data" sd="1" x="188"/>
        <item t="data" sd="1" x="142"/>
        <item t="data" sd="1" x="189"/>
        <item t="data" sd="1" x="219"/>
        <item t="data" sd="1" x="220"/>
        <item t="data" sd="1" x="226"/>
        <item t="data" sd="1" x="156"/>
        <item t="data" sd="1" x="109"/>
        <item t="data" sd="1" x="190"/>
        <item t="data" sd="1" x="36"/>
        <item t="data" sd="1" x="37"/>
        <item t="data" sd="1" x="168"/>
        <item t="data" sd="1" x="4"/>
        <item t="data" sd="1" x="38"/>
        <item t="data" sd="1" x="39"/>
        <item t="data" sd="1" x="169"/>
        <item t="data" sd="1" x="5"/>
        <item t="data" sd="1" x="12"/>
        <item t="data" sd="1" x="52"/>
        <item t="data" sd="1" x="114"/>
        <item t="data" sd="1" x="53"/>
        <item t="data" sd="1" x="13"/>
        <item t="data" sd="1" x="54"/>
        <item t="data" sd="1" x="68"/>
        <item t="data" sd="1" x="69"/>
        <item t="data" sd="1" x="70"/>
        <item t="data" sd="1" x="71"/>
        <item t="data" sd="1" x="17"/>
        <item t="data" sd="1" x="72"/>
        <item t="data" sd="1" x="73"/>
        <item t="data" sd="1" x="18"/>
        <item t="data" sd="1" x="74"/>
        <item t="data" sd="1" x="75"/>
        <item t="data" sd="1" x="76"/>
        <item t="data" sd="1" x="19"/>
        <item t="data" sd="1" x="82"/>
        <item t="data" sd="1" x="136"/>
        <item t="data" sd="1" x="83"/>
        <item t="data" sd="1" x="137"/>
        <item t="data" sd="1" x="138"/>
        <item t="data" sd="1" x="84"/>
        <item t="data" sd="1" x="85"/>
        <item t="data" sd="1" x="86"/>
        <item t="data" sd="1" x="216"/>
        <item t="data" sd="1" x="87"/>
        <item t="data" sd="1" x="88"/>
        <item t="data" sd="1" x="24"/>
        <item t="data" sd="1" x="89"/>
        <item t="data" sd="1" x="98"/>
        <item t="data" sd="1" x="175"/>
        <item t="data" sd="1" x="99"/>
        <item t="data" sd="1" x="162"/>
        <item t="data" sd="1" x="143"/>
        <item t="data" sd="1" x="177"/>
        <item t="data" sd="1" x="103"/>
        <item t="data" sd="1" x="144"/>
        <item t="data" sd="1" x="29"/>
        <item t="data" sd="1" x="197"/>
        <item t="data" sd="1" x="221"/>
        <item t="data" sd="1" x="147"/>
        <item t="data" sd="1" x="198"/>
        <item t="data" sd="1" x="148"/>
        <item t="data" sd="1" x="149"/>
        <item t="data" sd="1" x="164"/>
        <item t="data" sd="1" x="110"/>
        <item t="data" sd="1" x="157"/>
        <item t="data" sd="1" x="111"/>
        <item t="data" sd="1" x="191"/>
        <item t="data" sd="1" x="158"/>
        <item t="data" sd="1" x="160"/>
        <item t="data" sd="1" x="134"/>
        <item t="data" sd="1" x="20"/>
        <item t="data" sd="1" x="205"/>
        <item t="data" sd="1" x="90"/>
        <item t="data" sd="1" x="6"/>
        <item t="data" sd="1" x="40"/>
        <item t="data" sd="1" x="41"/>
        <item t="data" sd="1" x="42"/>
        <item t="data" sd="1" x="55"/>
        <item t="data" sd="1" x="56"/>
        <item t="data" sd="1" x="121"/>
        <item t="data" sd="1" x="57"/>
        <item t="data" sd="1" x="14"/>
        <item t="data" sd="1" x="58"/>
        <item t="data" sd="1" x="59"/>
        <item t="data" sd="1" x="60"/>
        <item t="data" sd="1" x="21"/>
        <item t="data" sd="1" x="91"/>
        <item t="data" sd="1" x="25"/>
        <item t="data" sd="1" x="140"/>
        <item t="data" sd="1" x="141"/>
        <item t="data" sd="1" x="104"/>
        <item t="data" sd="1" x="105"/>
        <item t="data" sd="1" x="145"/>
        <item t="data" sd="1" x="163"/>
        <item t="data" sd="1" x="7"/>
        <item t="data" sd="1" x="43"/>
        <item t="data" sd="1" x="44"/>
        <item t="data" sd="1" x="178"/>
        <item t="data" sd="1" x="132"/>
        <item t="data" sd="1" x="61"/>
        <item t="data" sd="1" x="201"/>
        <item t="data" sd="1" x="77"/>
        <item t="data" sd="1" x="22"/>
        <item t="data" sd="1" x="26"/>
        <item t="data" sd="1" x="92"/>
        <item t="data" sd="1" x="202"/>
        <item t="data" sd="1" x="117"/>
        <item t="data" sd="1" x="118"/>
        <item t="data" sd="1" x="150"/>
        <item t="data" sd="1" x="151"/>
        <item t="data" sd="1" x="159"/>
        <item t="data" sd="1" x="165"/>
        <item t="data" sd="1" x="212"/>
        <item t="data" sd="1" x="2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6">
        <item t="data" sd="1" x="1"/>
        <item t="data" sd="1" x="4"/>
        <item t="data" sd="1" x="3"/>
        <item t="data" sd="1" x="0"/>
        <item t="data" sd="1" x="2"/>
        <item t="default" sd="1"/>
      </items>
    </pivotField>
    <pivotField axis="axisRow" showDropDowns="1" compact="1" outline="1" subtotalTop="1" dragToRow="1" dragToCol="1" dragToPage="1" dragToData="1" dragOff="1" showAll="0" topAutoShow="1" itemPageCount="10" sortType="manual" defaultSubtotal="1">
      <items count="20">
        <item t="data" sd="1" x="2"/>
        <item t="data" sd="1" x="3"/>
        <item t="data" sd="1" x="8"/>
        <item t="data" sd="1" x="4"/>
        <item t="data" sd="1" x="5"/>
        <item t="data" sd="1" x="0"/>
        <item t="data" sd="1" x="6"/>
        <item t="data" sd="1" x="9"/>
        <item t="data" sd="1" x="13"/>
        <item t="data" sd="1" x="14"/>
        <item t="data" sd="1" x="10"/>
        <item t="data" sd="1" x="11"/>
        <item t="data" sd="1" x="1"/>
        <item t="data" sd="1" x="16"/>
        <item t="data" sd="1" x="15"/>
        <item t="data" sd="1" x="18"/>
        <item t="data" sd="1" x="17"/>
        <item n="Tap / tensão" t="data" sd="1" x="12"/>
        <item t="data" sd="1" x="7"/>
        <item t="default" sd="1"/>
      </items>
    </pivotField>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3">
        <item t="data" h="1" sd="1" x="2"/>
        <item t="data" sd="1" x="1"/>
        <item t="data" h="1" sd="1" x="10"/>
        <item t="data" h="1" sd="1" x="11"/>
        <item t="data" h="1" sd="1" x="3"/>
        <item t="data" h="1" sd="1" x="9"/>
        <item t="data" h="1" sd="1" x="7"/>
        <item t="data" sd="1" x="0"/>
        <item t="data" h="1" sd="1" x="8"/>
        <item t="data" h="1" sd="1" x="6"/>
        <item t="data" h="1" sd="1" x="5"/>
        <item t="data" h="1" sd="1" x="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5"/>
    <field x="3"/>
  </rowFields>
  <rowItems count="30">
    <i t="data" r="0" i="0">
      <x v="1"/>
    </i>
    <i t="data" r="1" i="0">
      <x v="2"/>
    </i>
    <i t="data" r="1" i="0">
      <x v="4"/>
    </i>
    <i t="data" r="1" i="0">
      <x v="5"/>
    </i>
    <i t="data" r="1" i="0">
      <x v="6"/>
    </i>
    <i t="data" r="1" i="0">
      <x v="10"/>
    </i>
    <i t="data" r="1" i="0">
      <x v="11"/>
    </i>
    <i t="data" r="1" i="0">
      <x v="12"/>
    </i>
    <i t="data" r="1" i="0">
      <x v="13"/>
    </i>
    <i t="data" r="1" i="0">
      <x v="15"/>
    </i>
    <i t="data" r="1" i="0">
      <x v="17"/>
    </i>
    <i t="data" r="0" i="0">
      <x v="7"/>
    </i>
    <i t="data" r="1" i="0">
      <x v="0"/>
    </i>
    <i t="data" r="1" i="0">
      <x v="1"/>
    </i>
    <i t="data" r="1" i="0">
      <x v="3"/>
    </i>
    <i t="data" r="1" i="0">
      <x v="4"/>
    </i>
    <i t="data" r="1" i="0">
      <x v="5"/>
    </i>
    <i t="data" r="1" i="0">
      <x v="6"/>
    </i>
    <i t="data" r="1" i="0">
      <x v="7"/>
    </i>
    <i t="data" r="1" i="0">
      <x v="8"/>
    </i>
    <i t="data" r="1" i="0">
      <x v="9"/>
    </i>
    <i t="data" r="1" i="0">
      <x v="10"/>
    </i>
    <i t="data" r="1" i="0">
      <x v="11"/>
    </i>
    <i t="data" r="1" i="0">
      <x v="12"/>
    </i>
    <i t="data" r="1" i="0">
      <x v="13"/>
    </i>
    <i t="data" r="1" i="0">
      <x v="14"/>
    </i>
    <i t="data" r="1" i="0">
      <x v="15"/>
    </i>
    <i t="data" r="1" i="0">
      <x v="16"/>
    </i>
    <i t="data" r="1" i="0">
      <x v="17"/>
    </i>
    <i t="grand" r="0" i="0">
      <x v="0"/>
    </i>
  </rowItems>
  <colItems count="1">
    <i t="data" r="0" i="0"/>
  </colItems>
  <dataFields count="1">
    <dataField name="Contagem de SS" fld="0" subtotal="count" showDataAs="normal" baseField="0" baseItem="0"/>
  </dataFields>
  <formats count="6">
    <format action="formatting" dxfId="2">
      <pivotArea type="normal" dataOnly="1" outline="1" collapsedLevelsAreSubtotals="1" fieldPosition="0">
        <references count="2">
          <reference field="3">
            <x v="12"/>
          </reference>
          <reference field="5" selected="0">
            <x v="1"/>
          </reference>
        </references>
      </pivotArea>
    </format>
    <format action="formatting" dxfId="3">
      <pivotArea type="normal" dataOnly="0" labelOnly="1" outline="1" fieldPosition="0">
        <references count="2">
          <reference field="3">
            <x v="12"/>
          </reference>
          <reference field="5" selected="0">
            <x v="1"/>
          </reference>
        </references>
      </pivotArea>
    </format>
    <format action="formatting" dxfId="4">
      <pivotArea type="normal" dataOnly="1" outline="1" collapsedLevelsAreSubtotals="1" fieldPosition="0">
        <references count="2">
          <reference field="3">
            <x v="5"/>
          </reference>
          <reference field="5" selected="0">
            <x v="7"/>
          </reference>
        </references>
      </pivotArea>
    </format>
    <format action="formatting" dxfId="5">
      <pivotArea type="normal" dataOnly="0" labelOnly="1" outline="1" fieldPosition="0">
        <references count="2">
          <reference field="3">
            <x v="5"/>
          </reference>
          <reference field="5" selected="0">
            <x v="7"/>
          </reference>
        </references>
      </pivotArea>
    </format>
    <format action="formatting" dxfId="6">
      <pivotArea type="normal" dataOnly="1" outline="1" collapsedLevelsAreSubtotals="1" fieldPosition="0">
        <references count="2">
          <reference field="3">
            <x v="12"/>
          </reference>
          <reference field="5" selected="0">
            <x v="7"/>
          </reference>
        </references>
      </pivotArea>
    </format>
    <format action="formatting" dxfId="7">
      <pivotArea type="normal" dataOnly="0" labelOnly="1" outline="1" fieldPosition="0">
        <references count="2">
          <reference field="3">
            <x v="12"/>
          </reference>
          <reference field="5" selected="0">
            <x v="7"/>
          </reference>
        </references>
      </pivotArea>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ela2" displayName="Tabela2" ref="A3:AD67" headerRowCount="1" totalsRowShown="0">
  <autoFilter ref="A3:AD67"/>
  <tableColumns count="30">
    <tableColumn id="1" name="SS"/>
    <tableColumn id="2" name="Mês"/>
    <tableColumn id="3" name="Macro categoria"/>
    <tableColumn id="4" name="Motivo"/>
    <tableColumn id="5" name="Resultado"/>
    <tableColumn id="6" name="Categoria pelo texto"/>
    <tableColumn id="7" name="Fonte da categoria"/>
    <tableColumn id="8" name="Categoria da leitura"/>
    <tableColumn id="9" name="Trafo"/>
    <tableColumn id="10" name="OS"/>
    <tableColumn id="11" name="Obra"/>
    <tableColumn id="12" name="Abertura"/>
    <tableColumn id="13" name="Término"/>
    <tableColumn id="14" name="Tipo da SS"/>
    <tableColumn id="15" name="Equipe"/>
    <tableColumn id="16" name="Localidade"/>
    <tableColumn id="17" name="Origem da SS"/>
    <tableColumn id="18" name="Defeito da SS"/>
    <tableColumn id="19" name="NS retirado"/>
    <tableColumn id="20" name="NS instalado"/>
    <tableColumn id="21" name="Prova de troca"/>
    <tableColumn id="22" name="Crítica — causa"/>
    <tableColumn id="23" name="Crítica — subcausa"/>
    <tableColumn id="24" name="TMAE — causa"/>
    <tableColumn id="25" name="TMAE — subcausa"/>
    <tableColumn id="26" name="No Infotrafo"/>
    <tableColumn id="27" name="Origem da leitura"/>
    <tableColumn id="28" name="Por que saiu"/>
    <tableColumn id="29" name="Texto da SS"/>
    <tableColumn id="30" name="Texto da OS" dataDxfId="1"/>
  </tableColumns>
  <tableStyleInfo name="TableStyleMedium9" showFirstColumn="0" showLastColumn="0" showRowStripes="1" showColumnStripes="0"/>
</table>
</file>

<file path=xl/tables/table2.xml><?xml version="1.0" encoding="utf-8"?>
<table xmlns="http://schemas.openxmlformats.org/spreadsheetml/2006/main" id="2" name="Tabela1" displayName="Tabela1" ref="A3:AD28" headerRowCount="1" totalsRowShown="0">
  <autoFilter ref="A3:AD28"/>
  <tableColumns count="30">
    <tableColumn id="1" name="SS"/>
    <tableColumn id="2" name="Mês"/>
    <tableColumn id="3" name="Macro categoria"/>
    <tableColumn id="4" name="Motivo"/>
    <tableColumn id="5" name="Resultado"/>
    <tableColumn id="6" name="Categoria pelo texto"/>
    <tableColumn id="7" name="Fonte da categoria"/>
    <tableColumn id="8" name="Categoria da leitura"/>
    <tableColumn id="9" name="Trafo"/>
    <tableColumn id="10" name="OS"/>
    <tableColumn id="11" name="Obra"/>
    <tableColumn id="12" name="Abertura"/>
    <tableColumn id="13" name="Término"/>
    <tableColumn id="14" name="Tipo da SS"/>
    <tableColumn id="15" name="Equipe"/>
    <tableColumn id="16" name="Localidade"/>
    <tableColumn id="17" name="Origem da SS"/>
    <tableColumn id="18" name="Defeito da SS"/>
    <tableColumn id="19" name="NS retirado"/>
    <tableColumn id="20" name="NS instalado"/>
    <tableColumn id="21" name="Prova de troca"/>
    <tableColumn id="22" name="Crítica — causa"/>
    <tableColumn id="23" name="Crítica — subcausa"/>
    <tableColumn id="24" name="TMAE — causa"/>
    <tableColumn id="25" name="TMAE — subcausa"/>
    <tableColumn id="26" name="No Infotrafo"/>
    <tableColumn id="27" name="Origem da leitura"/>
    <tableColumn id="28" name="Por que saiu"/>
    <tableColumn id="29" name="Texto da SS"/>
    <tableColumn id="30" name="Texto da O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pivotTable" Target="/xl/pivotTables/pivotTable1.xml" Id="rId1"/></Relationships>
</file>

<file path=xl/worksheets/_rels/sheet4.xml.rels><Relationships xmlns="http://schemas.openxmlformats.org/package/2006/relationships"><Relationship Type="http://schemas.openxmlformats.org/officeDocument/2006/relationships/pivotTable" Target="/xl/pivotTables/pivotTable2.xml" Id="rId1"/></Relationships>
</file>

<file path=xl/worksheets/_rels/sheet5.xml.rels><Relationships xmlns="http://schemas.openxmlformats.org/package/2006/relationships"><Relationship Type="http://schemas.openxmlformats.org/officeDocument/2006/relationships/pivotTable" Target="/xl/pivotTables/pivotTable3.xml" Id="rId1"/></Relationships>
</file>

<file path=xl/worksheets/_rels/sheet6.xml.rels><Relationships xmlns="http://schemas.openxmlformats.org/package/2006/relationships"><Relationship Type="http://schemas.openxmlformats.org/officeDocument/2006/relationships/pivotTable" Target="/xl/pivotTables/pivotTable4.xml" Id="rId1"/><Relationship Type="http://schemas.openxmlformats.org/officeDocument/2006/relationships/pivotTable" Target="/xl/pivotTables/pivotTable5.xml" Id="rId2"/></Relationships>
</file>

<file path=xl/worksheets/_rels/sheet7.xml.rels><Relationships xmlns="http://schemas.openxmlformats.org/package/2006/relationships"><Relationship Type="http://schemas.openxmlformats.org/officeDocument/2006/relationships/table" Target="/xl/tables/table1.xml" Id="rId1"/></Relationships>
</file>

<file path=xl/worksheets/_rels/sheet8.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34"/>
  <sheetViews>
    <sheetView showGridLines="0" workbookViewId="0">
      <selection activeCell="A1" sqref="A1"/>
    </sheetView>
  </sheetViews>
  <sheetFormatPr baseColWidth="8" defaultRowHeight="15"/>
  <cols>
    <col width="34" customWidth="1" min="1" max="1"/>
    <col width="104" customWidth="1" min="2" max="2"/>
  </cols>
  <sheetData>
    <row r="1" ht="22" customHeight="1">
      <c r="A1" s="17" t="inlineStr">
        <is>
          <t>Expurgos de transformadores — janeiro a agosto de 2026</t>
        </is>
      </c>
    </row>
    <row r="2">
      <c r="A2" s="18" t="inlineStr">
        <is>
          <t>Como a base foi montada, o que cada termo significa e onde estão as dinâmicas.</t>
        </is>
      </c>
    </row>
    <row r="4">
      <c r="A4" s="19" t="inlineStr">
        <is>
          <t>1. Como a base foi extraída</t>
        </is>
      </c>
    </row>
    <row r="5" ht="15" customHeight="1">
      <c r="A5" s="20" t="inlineStr">
        <is>
          <t>Código operativo</t>
        </is>
      </c>
      <c r="B5" s="21" t="inlineStr">
        <is>
          <t>Somente os que começam com 42, 52, 53 ou 57 — a faixa de transformador de distribuição.</t>
        </is>
      </c>
    </row>
    <row r="6" ht="15" customHeight="1">
      <c r="A6" s="20" t="inlineStr">
        <is>
          <t>Status da SS</t>
        </is>
      </c>
      <c r="B6" s="21" t="inlineStr">
        <is>
          <t>Pendente e Atendida.</t>
        </is>
      </c>
    </row>
    <row r="7" ht="15" customHeight="1">
      <c r="A7" s="20" t="inlineStr">
        <is>
          <t>Esquema de serviço</t>
        </is>
      </c>
      <c r="B7" s="21" t="inlineStr">
        <is>
          <t>MC - Substituição de transformador.</t>
        </is>
      </c>
    </row>
    <row r="8" ht="15" customHeight="1">
      <c r="A8" s="20" t="inlineStr">
        <is>
          <t>Tipo de SS</t>
        </is>
      </c>
      <c r="B8" s="21" t="inlineStr">
        <is>
          <t>FORMS, AVISO DE ANOMALIA e SOLICITAÇÃO DE SERVIÇO.</t>
        </is>
      </c>
    </row>
    <row r="9" ht="15" customHeight="1">
      <c r="A9" s="20" t="inlineStr">
        <is>
          <t>Período</t>
        </is>
      </c>
      <c r="B9" s="21" t="inlineStr">
        <is>
          <t>Aberturas de janeiro a agosto de 2026.</t>
        </is>
      </c>
    </row>
    <row r="10" ht="15" customHeight="1">
      <c r="A10" s="20" t="inlineStr">
        <is>
          <t>Resultado</t>
        </is>
      </c>
      <c r="B10" s="21" t="inlineStr">
        <is>
          <t>Deste recorte saíram 227 solicitações expurgadas, que são as linhas da aba Expurgos.</t>
        </is>
      </c>
    </row>
    <row r="12">
      <c r="A12" s="19" t="inlineStr">
        <is>
          <t>2. O que é expurgo</t>
        </is>
      </c>
    </row>
    <row r="13" ht="28" customHeight="1">
      <c r="A13" s="20" t="inlineStr">
        <is>
          <t>Definição</t>
        </is>
      </c>
      <c r="B13" s="21" t="inlineStr">
        <is>
          <t>SS que saiu do indicador de transformadores queimados. Cada linha traz o motivo, a categoria apurada na leitura caso a caso e o texto integral da SS e da OS.</t>
        </is>
      </c>
    </row>
    <row r="14" ht="28" customHeight="1">
      <c r="A14" s="20" t="inlineStr">
        <is>
          <t>Dois grupos</t>
        </is>
      </c>
      <c r="B14" s="21" t="inlineStr">
        <is>
          <t>115 saíram por mérito próprio e estão encerrados. 112 saíram porque a interrupção não fecha na Crítica e dependem de resposta do COPO — podem voltar ao indicador.</t>
        </is>
      </c>
    </row>
    <row r="16">
      <c r="A16" s="19" t="inlineStr">
        <is>
          <t>3. Glossário dos termos usados</t>
        </is>
      </c>
    </row>
    <row r="17" ht="15" customHeight="1">
      <c r="A17" s="20" t="inlineStr">
        <is>
          <t>Sem interrupção registrada</t>
        </is>
      </c>
      <c r="B17" s="21" t="inlineStr">
        <is>
          <t>A Crítica não tem nenhuma interrupção neste transformador em data alguma do período.</t>
        </is>
      </c>
    </row>
    <row r="18" ht="15" customHeight="1">
      <c r="A18" s="20" t="inlineStr">
        <is>
          <t>Fora da janela de 24 h</t>
        </is>
      </c>
      <c r="B18" s="21" t="inlineStr">
        <is>
          <t>A interrupção existe na Crítica, mas não cai na janela de 24 horas em torno da SS.</t>
        </is>
      </c>
    </row>
    <row r="19" ht="15" customHeight="1">
      <c r="A19" s="20" t="inlineStr">
        <is>
          <t>Troca comprovada pela série</t>
        </is>
      </c>
      <c r="B19" s="21" t="inlineStr">
        <is>
          <t>O número de série do transformador retirado é diferente do instalado — a substituição de fato ocorreu.</t>
        </is>
      </c>
    </row>
    <row r="20" ht="28" customHeight="1">
      <c r="A20" s="20" t="inlineStr">
        <is>
          <t>Obra não comprova a troca</t>
        </is>
      </c>
      <c r="B20" s="21" t="inlineStr">
        <is>
          <t>A obra, onde o material trocado é registrado, não foi gerada, não executou nada, ou foi encerrada sem transformador no material.</t>
        </is>
      </c>
    </row>
    <row r="21" ht="28" customHeight="1">
      <c r="A21" s="20" t="inlineStr">
        <is>
          <t>Trocado, mas sem falha</t>
        </is>
      </c>
      <c r="B21" s="21" t="inlineStr">
        <is>
          <t>A troca ocorreu e está documentada, mas por decisão de capacidade ou de rede: remanejamento, preventivo, ajuste de tensão.</t>
        </is>
      </c>
    </row>
    <row r="22" ht="15" customHeight="1">
      <c r="A22" s="20" t="inlineStr">
        <is>
          <t>Não houve troca nenhuma</t>
        </is>
      </c>
      <c r="B22" s="21" t="inlineStr">
        <is>
          <t>O registro diz que nada foi substituído: SS de construção, desativação de posto, ou segunda SS do mesmo evento.</t>
        </is>
      </c>
    </row>
    <row r="23" ht="28" customHeight="1">
      <c r="A23" s="20" t="inlineStr">
        <is>
          <t>Causa externa ao transformador</t>
        </is>
      </c>
      <c r="B23" s="21" t="inlineStr">
        <is>
          <t>A reposição não foi por defeito do equipamento: furto, colisão, terceiros, ou o código nem é de transformador de distribuição.</t>
        </is>
      </c>
    </row>
    <row r="25">
      <c r="A25" s="19" t="inlineStr">
        <is>
          <t>4. Onde estão as dinâmicas</t>
        </is>
      </c>
    </row>
    <row r="26" ht="15" customHeight="1">
      <c r="A26" s="20" t="inlineStr">
        <is>
          <t>Din Categoria</t>
        </is>
      </c>
      <c r="B26" s="21" t="inlineStr">
        <is>
          <t>Contagem por macro categoria — as cinco famílias de expurgo.</t>
        </is>
      </c>
    </row>
    <row r="27" ht="15" customHeight="1">
      <c r="A27" s="20" t="inlineStr">
        <is>
          <t>Din Motivo</t>
        </is>
      </c>
      <c r="B27" s="21" t="inlineStr">
        <is>
          <t>Macro categoria aberta por motivo — os 19 motivos registrados.</t>
        </is>
      </c>
    </row>
    <row r="28" ht="15" customHeight="1">
      <c r="A28" s="20" t="inlineStr">
        <is>
          <t>Din Texto x Motivo</t>
        </is>
      </c>
      <c r="B28" s="21" t="inlineStr">
        <is>
          <t>Categoria pelo texto da SS aberta por motivo — a visão dos 172 com texto de queima ou avaria.</t>
        </is>
      </c>
    </row>
    <row r="29" ht="15" customHeight="1">
      <c r="A29" s="20" t="inlineStr">
        <is>
          <t>Planilha1</t>
        </is>
      </c>
      <c r="B29" s="21" t="inlineStr">
        <is>
          <t>As duas dinâmicas que já vinham na base, preservadas como estavam.</t>
        </is>
      </c>
    </row>
    <row r="30" ht="15" customHeight="1">
      <c r="A30" s="20" t="inlineStr">
        <is>
          <t>Atualizar</t>
        </is>
      </c>
      <c r="B30" s="21" t="inlineStr">
        <is>
          <t>As dinâmicas são atualizadas ao abrir. Para forçar: clique com o botão direito sobre a tabela e escolha Atualizar.</t>
        </is>
      </c>
    </row>
    <row r="32">
      <c r="A32" s="19" t="inlineStr">
        <is>
          <t>5. Ressalvas</t>
        </is>
      </c>
    </row>
    <row r="33" ht="28" customHeight="1">
      <c r="A33" s="20" t="inlineStr">
        <is>
          <t>Julho</t>
        </is>
      </c>
      <c r="B33" s="21" t="inlineStr">
        <is>
          <t>A Crítica de julho se perdeu. Os 13 expurgos do mês foram lidos só pelo texto, sem conferência de interrupção — o mês não é comparável aos demais.</t>
        </is>
      </c>
    </row>
    <row r="34" ht="15" customHeight="1">
      <c r="A34" s="20" t="inlineStr">
        <is>
          <t>Fonte da categoria</t>
        </is>
      </c>
      <c r="B34" s="21" t="inlineStr">
        <is>
          <t>191 categorias vieram prontas da esteira das 1.582; 36 foram lidas caso a caso no período de janeiro a agosto.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showGridLines="0" workbookViewId="0">
      <selection activeCell="A1" sqref="A1"/>
    </sheetView>
  </sheetViews>
  <sheetFormatPr baseColWidth="8" defaultRowHeight="15"/>
  <cols>
    <col width="40" customWidth="1" min="1" max="1"/>
    <col width="12" customWidth="1" min="2" max="2"/>
    <col width="10" customWidth="1" min="3" max="3"/>
    <col width="14" customWidth="1" min="4" max="4"/>
    <col width="14" customWidth="1" min="5" max="5"/>
  </cols>
  <sheetData>
    <row r="1" ht="22" customHeight="1">
      <c r="A1" s="17" t="inlineStr">
        <is>
          <t>Resumo dos 227 expurgos</t>
        </is>
      </c>
    </row>
    <row r="2">
      <c r="A2" s="18" t="inlineStr">
        <is>
          <t>Todos os números saem por fórmula da aba Expurgos — mudou a base, muda aqui.</t>
        </is>
      </c>
    </row>
    <row r="3">
      <c r="A3" s="19" t="inlineStr">
        <is>
          <t>Visão geral</t>
        </is>
      </c>
    </row>
    <row r="4" ht="20" customHeight="1">
      <c r="A4" s="22" t="inlineStr">
        <is>
          <t>Situação</t>
        </is>
      </c>
      <c r="B4" s="22" t="inlineStr">
        <is>
          <t>SS</t>
        </is>
      </c>
      <c r="C4" s="22" t="inlineStr">
        <is>
          <t>%</t>
        </is>
      </c>
      <c r="D4" s="22" t="inlineStr"/>
      <c r="E4" s="22" t="inlineStr"/>
    </row>
    <row r="5">
      <c r="A5" s="23" t="inlineStr">
        <is>
          <t>Com decisão fechada — não retornam ao indicador</t>
        </is>
      </c>
      <c r="B5" s="24">
        <f>227-B6</f>
        <v/>
      </c>
      <c r="C5" s="25">
        <f>B5/$B$7</f>
        <v/>
      </c>
    </row>
    <row r="6">
      <c r="A6" s="26" t="inlineStr">
        <is>
          <t>Aguardando o COPO — interrupção não fecha na Crítica</t>
        </is>
      </c>
      <c r="B6" s="27">
        <f>COUNTIFS(Expurgos!$D$2:$D$228,"Sem interrupção")+COUNTIFS(Expurgos!$D$2:$D$228,"Fora da janela")</f>
        <v/>
      </c>
      <c r="C6" s="28">
        <f>B6/$B$7</f>
        <v/>
      </c>
    </row>
    <row r="7">
      <c r="A7" s="29" t="inlineStr">
        <is>
          <t>Total</t>
        </is>
      </c>
      <c r="B7" s="30">
        <f>COUNTA(Expurgos!$A$2:$A$228)</f>
        <v/>
      </c>
      <c r="C7" s="31">
        <f>B7/B7</f>
        <v/>
      </c>
    </row>
    <row r="9">
      <c r="A9" s="19" t="inlineStr">
        <is>
          <t>Por macro categoria</t>
        </is>
      </c>
    </row>
    <row r="10" ht="20" customHeight="1">
      <c r="A10" s="22" t="inlineStr">
        <is>
          <t>Macro categoria</t>
        </is>
      </c>
      <c r="B10" s="22" t="inlineStr">
        <is>
          <t>SS</t>
        </is>
      </c>
      <c r="C10" s="22" t="inlineStr">
        <is>
          <t>%</t>
        </is>
      </c>
      <c r="D10" s="22" t="inlineStr"/>
      <c r="E10" s="22" t="inlineStr"/>
    </row>
    <row r="11">
      <c r="A11" s="23" t="inlineStr">
        <is>
          <t>Sem interrupção ou fora da janela</t>
        </is>
      </c>
      <c r="B11" s="24">
        <f>COUNTIFS(Expurgos!$C$2:$C$228,"Sem interrupção comprovada")</f>
        <v/>
      </c>
      <c r="C11" s="25">
        <f>B11/$B$16</f>
        <v/>
      </c>
    </row>
    <row r="12">
      <c r="A12" s="26" t="inlineStr">
        <is>
          <t>Causa externa ao transformador</t>
        </is>
      </c>
      <c r="B12" s="27">
        <f>COUNTIFS(Expurgos!$C$2:$C$228,"Causa externa ao transformador")</f>
        <v/>
      </c>
      <c r="C12" s="28">
        <f>B12/$B$16</f>
        <v/>
      </c>
    </row>
    <row r="13">
      <c r="A13" s="23" t="inlineStr">
        <is>
          <t>Trocado, mas sem falha</t>
        </is>
      </c>
      <c r="B13" s="24">
        <f>COUNTIFS(Expurgos!$C$2:$C$228,"Troca sem falha")</f>
        <v/>
      </c>
      <c r="C13" s="25">
        <f>B13/$B$16</f>
        <v/>
      </c>
    </row>
    <row r="14">
      <c r="A14" s="26" t="inlineStr">
        <is>
          <t>Obra não comprova a troca</t>
        </is>
      </c>
      <c r="B14" s="27">
        <f>COUNTIFS(Expurgos!$C$2:$C$228,"Sem documento")</f>
        <v/>
      </c>
      <c r="C14" s="28">
        <f>B14/$B$16</f>
        <v/>
      </c>
    </row>
    <row r="15">
      <c r="A15" s="23" t="inlineStr">
        <is>
          <t>Não houve troca nenhuma</t>
        </is>
      </c>
      <c r="B15" s="24">
        <f>COUNTIFS(Expurgos!$C$2:$C$228,"Não houve troca")</f>
        <v/>
      </c>
      <c r="C15" s="25">
        <f>B15/$B$16</f>
        <v/>
      </c>
    </row>
    <row r="16">
      <c r="A16" s="29" t="inlineStr">
        <is>
          <t>Total</t>
        </is>
      </c>
      <c r="B16" s="30">
        <f>SUM(B11:B15)</f>
        <v/>
      </c>
      <c r="C16" s="31">
        <f>B16/B16</f>
        <v/>
      </c>
    </row>
    <row r="18">
      <c r="A18" s="19" t="inlineStr">
        <is>
          <t>Os 172 com texto de queima ou avaria</t>
        </is>
      </c>
    </row>
    <row r="19" ht="20" customHeight="1">
      <c r="A19" s="22" t="inlineStr">
        <is>
          <t>Recorte</t>
        </is>
      </c>
      <c r="B19" s="22" t="inlineStr">
        <is>
          <t>SS</t>
        </is>
      </c>
      <c r="C19" s="22" t="inlineStr">
        <is>
          <t>%</t>
        </is>
      </c>
      <c r="D19" s="22" t="inlineStr"/>
      <c r="E19" s="22" t="inlineStr"/>
    </row>
    <row r="20">
      <c r="A20" s="23" t="inlineStr">
        <is>
          <t>Param na Crítica: sem interrupção ou fora da janela</t>
        </is>
      </c>
      <c r="B20" s="24">
        <f>(COUNTIFS(Expurgos!$F$2:$F$228,"QUEIMADO",Expurgos!$D$2:$D$228,"Sem interrupção")+COUNTIFS(Expurgos!$F$2:$F$228,"QUEIMADO",Expurgos!$D$2:$D$228,"Fora da janela")+COUNTIFS(Expurgos!$F$2:$F$228,"AVARIADO",Expurgos!$D$2:$D$228,"Sem interrupção")+COUNTIFS(Expurgos!$F$2:$F$228,"AVARIADO",Expurgos!$D$2:$D$228,"Fora da janela"))</f>
        <v/>
      </c>
      <c r="C20" s="25">
        <f>B20/$B$22</f>
        <v/>
      </c>
    </row>
    <row r="21">
      <c r="A21" s="26" t="inlineStr">
        <is>
          <t>Saíram por motivo apurado na leitura</t>
        </is>
      </c>
      <c r="B21" s="27">
        <f>B22-B20</f>
        <v/>
      </c>
      <c r="C21" s="28">
        <f>B21/$B$22</f>
        <v/>
      </c>
    </row>
    <row r="22">
      <c r="A22" s="29" t="inlineStr">
        <is>
          <t>Total com texto de queima ou avaria</t>
        </is>
      </c>
      <c r="B22" s="30">
        <f>(COUNTIFS(Expurgos!$F$2:$F$228,"QUEIMADO")+COUNTIFS(Expurgos!$F$2:$F$228,"AVARIADO"))</f>
        <v/>
      </c>
      <c r="C22" s="31">
        <f>B22/B22</f>
        <v/>
      </c>
    </row>
    <row r="24">
      <c r="A24" s="19" t="inlineStr">
        <is>
          <t>Por mês</t>
        </is>
      </c>
    </row>
    <row r="25" ht="20" customHeight="1">
      <c r="A25" s="22" t="inlineStr">
        <is>
          <t>Mês</t>
        </is>
      </c>
      <c r="B25" s="22" t="inlineStr">
        <is>
          <t>Expurgos no mês</t>
        </is>
      </c>
      <c r="C25" s="22" t="inlineStr">
        <is>
          <t>Aguardando o COPO</t>
        </is>
      </c>
      <c r="D25" s="22" t="inlineStr">
        <is>
          <t>% do mês</t>
        </is>
      </c>
      <c r="E25" s="22" t="inlineStr"/>
    </row>
    <row r="26">
      <c r="A26" s="23" t="inlineStr">
        <is>
          <t>jan</t>
        </is>
      </c>
      <c r="B26" s="24">
        <f>COUNTIFS(Expurgos!$B$2:$B$228,"jan")</f>
        <v/>
      </c>
      <c r="C26" s="24">
        <f>COUNTIFS(Expurgos!$B$2:$B$228,"jan",Expurgos!$D$2:$D$228,"Sem interrupção")+COUNTIFS(Expurgos!$B$2:$B$228,"jan",Expurgos!$D$2:$D$228,"Fora da janela")</f>
        <v/>
      </c>
      <c r="D26" s="25">
        <f>IF(B26=0,0,C26/B26)</f>
        <v/>
      </c>
    </row>
    <row r="27">
      <c r="A27" s="26" t="inlineStr">
        <is>
          <t>fev</t>
        </is>
      </c>
      <c r="B27" s="27">
        <f>COUNTIFS(Expurgos!$B$2:$B$228,"fev")</f>
        <v/>
      </c>
      <c r="C27" s="27">
        <f>COUNTIFS(Expurgos!$B$2:$B$228,"fev",Expurgos!$D$2:$D$228,"Sem interrupção")+COUNTIFS(Expurgos!$B$2:$B$228,"fev",Expurgos!$D$2:$D$228,"Fora da janela")</f>
        <v/>
      </c>
      <c r="D27" s="28">
        <f>IF(B27=0,0,C27/B27)</f>
        <v/>
      </c>
    </row>
    <row r="28">
      <c r="A28" s="23" t="inlineStr">
        <is>
          <t>mar</t>
        </is>
      </c>
      <c r="B28" s="24">
        <f>COUNTIFS(Expurgos!$B$2:$B$228,"mar")</f>
        <v/>
      </c>
      <c r="C28" s="24">
        <f>COUNTIFS(Expurgos!$B$2:$B$228,"mar",Expurgos!$D$2:$D$228,"Sem interrupção")+COUNTIFS(Expurgos!$B$2:$B$228,"mar",Expurgos!$D$2:$D$228,"Fora da janela")</f>
        <v/>
      </c>
      <c r="D28" s="25">
        <f>IF(B28=0,0,C28/B28)</f>
        <v/>
      </c>
    </row>
    <row r="29">
      <c r="A29" s="26" t="inlineStr">
        <is>
          <t>abr</t>
        </is>
      </c>
      <c r="B29" s="27">
        <f>COUNTIFS(Expurgos!$B$2:$B$228,"abr")</f>
        <v/>
      </c>
      <c r="C29" s="27">
        <f>COUNTIFS(Expurgos!$B$2:$B$228,"abr",Expurgos!$D$2:$D$228,"Sem interrupção")+COUNTIFS(Expurgos!$B$2:$B$228,"abr",Expurgos!$D$2:$D$228,"Fora da janela")</f>
        <v/>
      </c>
      <c r="D29" s="28">
        <f>IF(B29=0,0,C29/B29)</f>
        <v/>
      </c>
    </row>
    <row r="30">
      <c r="A30" s="23" t="inlineStr">
        <is>
          <t>mai</t>
        </is>
      </c>
      <c r="B30" s="24">
        <f>COUNTIFS(Expurgos!$B$2:$B$228,"mai")</f>
        <v/>
      </c>
      <c r="C30" s="24">
        <f>COUNTIFS(Expurgos!$B$2:$B$228,"mai",Expurgos!$D$2:$D$228,"Sem interrupção")+COUNTIFS(Expurgos!$B$2:$B$228,"mai",Expurgos!$D$2:$D$228,"Fora da janela")</f>
        <v/>
      </c>
      <c r="D30" s="25">
        <f>IF(B30=0,0,C30/B30)</f>
        <v/>
      </c>
    </row>
    <row r="31">
      <c r="A31" s="26" t="inlineStr">
        <is>
          <t>jun</t>
        </is>
      </c>
      <c r="B31" s="27">
        <f>COUNTIFS(Expurgos!$B$2:$B$228,"jun")</f>
        <v/>
      </c>
      <c r="C31" s="27">
        <f>COUNTIFS(Expurgos!$B$2:$B$228,"jun",Expurgos!$D$2:$D$228,"Sem interrupção")+COUNTIFS(Expurgos!$B$2:$B$228,"jun",Expurgos!$D$2:$D$228,"Fora da janela")</f>
        <v/>
      </c>
      <c r="D31" s="28">
        <f>IF(B31=0,0,C31/B31)</f>
        <v/>
      </c>
    </row>
    <row r="32">
      <c r="A32" s="23" t="inlineStr">
        <is>
          <t>jul</t>
        </is>
      </c>
      <c r="B32" s="24">
        <f>COUNTIFS(Expurgos!$B$2:$B$228,"jul")</f>
        <v/>
      </c>
      <c r="C32" s="24">
        <f>COUNTIFS(Expurgos!$B$2:$B$228,"jul",Expurgos!$D$2:$D$228,"Sem interrupção")+COUNTIFS(Expurgos!$B$2:$B$228,"jul",Expurgos!$D$2:$D$228,"Fora da janela")</f>
        <v/>
      </c>
      <c r="D32" s="25">
        <f>IF(B32=0,0,C32/B32)</f>
        <v/>
      </c>
    </row>
    <row r="33">
      <c r="A33" s="26" t="inlineStr">
        <is>
          <t>ago</t>
        </is>
      </c>
      <c r="B33" s="27">
        <f>COUNTIFS(Expurgos!$B$2:$B$228,"ago")</f>
        <v/>
      </c>
      <c r="C33" s="27">
        <f>COUNTIFS(Expurgos!$B$2:$B$228,"ago",Expurgos!$D$2:$D$228,"Sem interrupção")+COUNTIFS(Expurgos!$B$2:$B$228,"ago",Expurgos!$D$2:$D$228,"Fora da janela")</f>
        <v/>
      </c>
      <c r="D33" s="28">
        <f>IF(B33=0,0,C33/B33)</f>
        <v/>
      </c>
    </row>
    <row r="34">
      <c r="A34" s="29" t="inlineStr">
        <is>
          <t>Total</t>
        </is>
      </c>
      <c r="B34" s="30">
        <f>SUM(B26:B33)</f>
        <v/>
      </c>
      <c r="C34" s="30">
        <f>SUM(C26:C33)</f>
        <v/>
      </c>
      <c r="D34" s="31">
        <f>C34/B34</f>
        <v/>
      </c>
    </row>
    <row r="35">
      <c r="A35" s="32" t="inlineStr">
        <is>
          <t>Julho não é comparável: a Crítica do mês se perdeu e a conferência de interrupção não rodou.</t>
        </is>
      </c>
    </row>
    <row r="37">
      <c r="A37" s="19" t="inlineStr">
        <is>
          <t>Prova de troca dentro dos 112 pendentes</t>
        </is>
      </c>
    </row>
    <row r="38" ht="20" customHeight="1">
      <c r="A38" s="22" t="inlineStr">
        <is>
          <t>Situação</t>
        </is>
      </c>
      <c r="B38" s="22" t="inlineStr">
        <is>
          <t>SS</t>
        </is>
      </c>
      <c r="C38" s="22" t="inlineStr">
        <is>
          <t>%</t>
        </is>
      </c>
      <c r="D38" s="22" t="inlineStr"/>
      <c r="E38" s="22" t="inlineStr"/>
    </row>
    <row r="39">
      <c r="A39" s="23" t="inlineStr">
        <is>
          <t>Troca comprovada pela série</t>
        </is>
      </c>
      <c r="B39" s="24">
        <f>COUNTIFS(Expurgos!$D$2:$D$228,"Sem interrupção",Expurgos!$U$2:$U$228,"sim")+COUNTIFS(Expurgos!$D$2:$D$228,"Fora da janela",Expurgos!$U$2:$U$228,"sim")</f>
        <v/>
      </c>
      <c r="C39" s="25">
        <f>B39/$B$41</f>
        <v/>
      </c>
    </row>
    <row r="40">
      <c r="A40" s="26" t="inlineStr">
        <is>
          <t>Sem comprovação pela série</t>
        </is>
      </c>
      <c r="B40" s="27">
        <f>B41-B39</f>
        <v/>
      </c>
      <c r="C40" s="28">
        <f>B40/$B$41</f>
        <v/>
      </c>
    </row>
    <row r="41">
      <c r="A41" s="29" t="inlineStr">
        <is>
          <t>Total pendente</t>
        </is>
      </c>
      <c r="B41" s="30">
        <f>B6</f>
        <v/>
      </c>
      <c r="C41" s="31">
        <f>B41/B41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38" customWidth="1" min="1" max="1"/>
    <col width="16" customWidth="1" min="2" max="2"/>
  </cols>
  <sheetData>
    <row r="1" ht="22" customHeight="1">
      <c r="A1" s="17" t="inlineStr">
        <is>
          <t>Dinâmica: Categoria</t>
        </is>
      </c>
    </row>
    <row r="2">
      <c r="A2" s="18" t="inlineStr">
        <is>
          <t>Contagem de SS por macro categoria. Arraste outros campos na lista à direita para explorar.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42" customWidth="1" min="1" max="1"/>
    <col width="16" customWidth="1" min="2" max="2"/>
  </cols>
  <sheetData>
    <row r="1" ht="22" customHeight="1">
      <c r="A1" s="17" t="inlineStr">
        <is>
          <t>Dinâmica: Motivo</t>
        </is>
      </c>
    </row>
    <row r="2">
      <c r="A2" s="18" t="inlineStr">
        <is>
          <t>Macro categoria aberta por motivo registrado na leitura caso a caso.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42" customWidth="1" min="1" max="1"/>
    <col width="16" customWidth="1" min="2" max="2"/>
  </cols>
  <sheetData>
    <row r="1" ht="22" customHeight="1">
      <c r="A1" s="17" t="inlineStr">
        <is>
          <t>Dinâmica: Texto x Motivo</t>
        </is>
      </c>
    </row>
    <row r="2">
      <c r="A2" s="18" t="inlineStr">
        <is>
          <t>Categoria pelo texto da SS aberta por motivo — é aqui que se lê a visão dos 172 com texto de queima ou avaria.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3:E33"/>
  <sheetViews>
    <sheetView showGridLines="0" tabSelected="1" workbookViewId="0">
      <selection activeCell="E27" sqref="E27"/>
    </sheetView>
  </sheetViews>
  <sheetFormatPr baseColWidth="8" defaultRowHeight="15"/>
  <cols>
    <col width="26.7109375" bestFit="1" customWidth="1" min="1" max="1"/>
    <col width="15.28515625" bestFit="1" customWidth="1" min="2" max="2"/>
    <col width="26.7109375" bestFit="1" customWidth="1" min="4" max="4"/>
    <col width="15.28515625" bestFit="1" customWidth="1" min="5" max="5"/>
  </cols>
  <sheetData>
    <row r="3">
      <c r="A3" s="10" t="inlineStr">
        <is>
          <t>Rótulos de Linha</t>
        </is>
      </c>
      <c r="B3" t="inlineStr">
        <is>
          <t>Contagem de SS</t>
        </is>
      </c>
      <c r="D3" s="10" t="inlineStr">
        <is>
          <t>Rótulos de Linha</t>
        </is>
      </c>
      <c r="E3" t="inlineStr">
        <is>
          <t>Contagem de SS</t>
        </is>
      </c>
    </row>
    <row r="4">
      <c r="A4" s="11" t="inlineStr">
        <is>
          <t>ABALROAMENTO</t>
        </is>
      </c>
      <c r="B4" t="n">
        <v>5</v>
      </c>
      <c r="D4" s="11" t="inlineStr">
        <is>
          <t>AVARIADO</t>
        </is>
      </c>
      <c r="E4" t="n">
        <v>47</v>
      </c>
    </row>
    <row r="5">
      <c r="A5" s="11" t="inlineStr">
        <is>
          <t>AVARIADO</t>
        </is>
      </c>
      <c r="B5" t="n">
        <v>47</v>
      </c>
      <c r="D5" s="12" t="inlineStr">
        <is>
          <t>Divisão de circuito</t>
        </is>
      </c>
      <c r="E5" t="n">
        <v>1</v>
      </c>
    </row>
    <row r="6">
      <c r="A6" s="11" t="inlineStr">
        <is>
          <t>CONSTRUCAO</t>
        </is>
      </c>
      <c r="B6" t="n">
        <v>1</v>
      </c>
      <c r="D6" s="12" t="inlineStr">
        <is>
          <t>Falta de fase</t>
        </is>
      </c>
      <c r="E6" t="n">
        <v>1</v>
      </c>
    </row>
    <row r="7">
      <c r="A7" s="11" t="inlineStr">
        <is>
          <t>DESATIVACAO</t>
        </is>
      </c>
      <c r="B7" t="n">
        <v>2</v>
      </c>
      <c r="D7" s="12" t="inlineStr">
        <is>
          <t>Fora da janela</t>
        </is>
      </c>
      <c r="E7" t="n">
        <v>5</v>
      </c>
    </row>
    <row r="8">
      <c r="A8" s="11" t="inlineStr">
        <is>
          <t>FURTADO</t>
        </is>
      </c>
      <c r="B8" t="n">
        <v>30</v>
      </c>
      <c r="D8" s="12" t="inlineStr">
        <is>
          <t>Furto</t>
        </is>
      </c>
      <c r="E8" t="n">
        <v>2</v>
      </c>
    </row>
    <row r="9">
      <c r="A9" s="11" t="inlineStr">
        <is>
          <t>OUTROS</t>
        </is>
      </c>
      <c r="B9" t="n">
        <v>3</v>
      </c>
      <c r="D9" s="12" t="inlineStr">
        <is>
          <t>Preventivo</t>
        </is>
      </c>
      <c r="E9" t="n">
        <v>3</v>
      </c>
    </row>
    <row r="10">
      <c r="A10" s="11" t="inlineStr">
        <is>
          <t>PREVENTIVO</t>
        </is>
      </c>
      <c r="B10" t="n">
        <v>9</v>
      </c>
      <c r="D10" s="12" t="inlineStr">
        <is>
          <t>Remanejamento</t>
        </is>
      </c>
      <c r="E10" t="n">
        <v>4</v>
      </c>
    </row>
    <row r="11">
      <c r="A11" s="11" t="inlineStr">
        <is>
          <t>QUEIMADO</t>
        </is>
      </c>
      <c r="B11" t="n">
        <v>125</v>
      </c>
      <c r="D11" s="13" t="inlineStr">
        <is>
          <t>Sem interrupção</t>
        </is>
      </c>
      <c r="E11" s="14" t="n">
        <v>18</v>
      </c>
    </row>
    <row r="12">
      <c r="A12" s="11" t="inlineStr">
        <is>
          <t>SEM OS</t>
        </is>
      </c>
      <c r="B12" t="n">
        <v>2</v>
      </c>
      <c r="D12" s="12" t="inlineStr">
        <is>
          <t>Sem obra</t>
        </is>
      </c>
      <c r="E12" t="n">
        <v>3</v>
      </c>
    </row>
    <row r="13">
      <c r="A13" s="11" t="inlineStr">
        <is>
          <t>SEM TEXTO</t>
        </is>
      </c>
      <c r="B13" t="n">
        <v>1</v>
      </c>
      <c r="D13" s="12" t="inlineStr">
        <is>
          <t>Sem troca</t>
        </is>
      </c>
      <c r="E13" t="n">
        <v>5</v>
      </c>
    </row>
    <row r="14">
      <c r="A14" s="11" t="inlineStr">
        <is>
          <t>SOBRECARGA</t>
        </is>
      </c>
      <c r="B14" t="n">
        <v>1</v>
      </c>
      <c r="D14" s="12" t="inlineStr">
        <is>
          <t>Tap / tensão</t>
        </is>
      </c>
      <c r="E14" t="n">
        <v>5</v>
      </c>
    </row>
    <row r="15">
      <c r="A15" s="11" t="inlineStr">
        <is>
          <t>TRAFO AUXILIAR</t>
        </is>
      </c>
      <c r="B15" t="n">
        <v>1</v>
      </c>
      <c r="D15" s="11" t="inlineStr">
        <is>
          <t>QUEIMADO</t>
        </is>
      </c>
      <c r="E15" t="n">
        <v>125</v>
      </c>
    </row>
    <row r="16">
      <c r="A16" s="11" t="inlineStr">
        <is>
          <t>Total Geral</t>
        </is>
      </c>
      <c r="B16" t="n">
        <v>227</v>
      </c>
      <c r="D16" s="12" t="inlineStr">
        <is>
          <t>Abalroamento</t>
        </is>
      </c>
      <c r="E16" t="n">
        <v>2</v>
      </c>
    </row>
    <row r="17">
      <c r="D17" s="12" t="inlineStr">
        <is>
          <t>Dano de terceiros</t>
        </is>
      </c>
      <c r="E17" t="n">
        <v>1</v>
      </c>
    </row>
    <row r="18">
      <c r="D18" s="12" t="inlineStr">
        <is>
          <t>Erro de cadastro</t>
        </is>
      </c>
      <c r="E18" t="n">
        <v>2</v>
      </c>
    </row>
    <row r="19">
      <c r="D19" s="12" t="inlineStr">
        <is>
          <t>Falta de fase</t>
        </is>
      </c>
      <c r="E19" t="n">
        <v>1</v>
      </c>
    </row>
    <row r="20">
      <c r="D20" s="13" t="inlineStr">
        <is>
          <t>Fora da janela</t>
        </is>
      </c>
      <c r="E20" s="14" t="n">
        <v>25</v>
      </c>
    </row>
    <row r="21">
      <c r="D21" s="12" t="inlineStr">
        <is>
          <t>Furto</t>
        </is>
      </c>
      <c r="E21" t="n">
        <v>4</v>
      </c>
    </row>
    <row r="22">
      <c r="D22" s="12" t="inlineStr">
        <is>
          <t>Melhoria de posto</t>
        </is>
      </c>
      <c r="E22" t="n">
        <v>1</v>
      </c>
    </row>
    <row r="23">
      <c r="D23" s="12" t="inlineStr">
        <is>
          <t>Obra sem execução</t>
        </is>
      </c>
      <c r="E23" t="n">
        <v>1</v>
      </c>
    </row>
    <row r="24">
      <c r="D24" s="12" t="inlineStr">
        <is>
          <t>Obra sem transformador</t>
        </is>
      </c>
      <c r="E24" t="n">
        <v>3</v>
      </c>
    </row>
    <row r="25">
      <c r="D25" s="12" t="inlineStr">
        <is>
          <t>Preventivo</t>
        </is>
      </c>
      <c r="E25" t="n">
        <v>5</v>
      </c>
    </row>
    <row r="26">
      <c r="D26" s="12" t="inlineStr">
        <is>
          <t>Remanejamento</t>
        </is>
      </c>
      <c r="E26" t="n">
        <v>8</v>
      </c>
    </row>
    <row r="27">
      <c r="D27" s="13" t="inlineStr">
        <is>
          <t>Sem interrupção</t>
        </is>
      </c>
      <c r="E27" s="14" t="n">
        <v>64</v>
      </c>
    </row>
    <row r="28">
      <c r="D28" s="12" t="inlineStr">
        <is>
          <t>Sem obra</t>
        </is>
      </c>
      <c r="E28" t="n">
        <v>3</v>
      </c>
    </row>
    <row r="29">
      <c r="D29" s="12" t="inlineStr">
        <is>
          <t>Sem OS</t>
        </is>
      </c>
      <c r="E29" t="n">
        <v>1</v>
      </c>
    </row>
    <row r="30">
      <c r="D30" s="12" t="inlineStr">
        <is>
          <t>Sem troca</t>
        </is>
      </c>
      <c r="E30" t="n">
        <v>1</v>
      </c>
    </row>
    <row r="31">
      <c r="D31" s="12" t="inlineStr">
        <is>
          <t>SS duplicada</t>
        </is>
      </c>
      <c r="E31" t="n">
        <v>1</v>
      </c>
    </row>
    <row r="32">
      <c r="D32" s="12" t="inlineStr">
        <is>
          <t>Tap / tensão</t>
        </is>
      </c>
      <c r="E32" t="n">
        <v>2</v>
      </c>
    </row>
    <row r="33">
      <c r="D33" s="11" t="inlineStr">
        <is>
          <t>Total Geral</t>
        </is>
      </c>
      <c r="E33" t="n">
        <v>172</v>
      </c>
    </row>
  </sheetData>
  <pageMargins left="0.511811024" right="0.511811024" top="0.787401575" bottom="0.787401575" header="0.31496062" footer="0.31496062"/>
</worksheet>
</file>

<file path=xl/worksheets/sheet7.xml><?xml version="1.0" encoding="utf-8"?>
<worksheet xmlns="http://schemas.openxmlformats.org/spreadsheetml/2006/main">
  <sheetPr>
    <outlinePr summaryBelow="1" summaryRight="1"/>
    <pageSetUpPr/>
  </sheetPr>
  <dimension ref="A1:AD67"/>
  <sheetViews>
    <sheetView workbookViewId="0">
      <selection activeCell="A20" sqref="A20"/>
    </sheetView>
  </sheetViews>
  <sheetFormatPr baseColWidth="8" defaultRowHeight="15"/>
  <cols>
    <col width="22.7109375" bestFit="1" customWidth="1" min="1" max="1"/>
    <col width="9.28515625" bestFit="1" customWidth="1" min="2" max="2"/>
    <col width="27.42578125" bestFit="1" customWidth="1" min="3" max="3"/>
    <col width="15.7109375" bestFit="1" customWidth="1" min="4" max="4"/>
    <col width="12.140625" bestFit="1" customWidth="1" min="5" max="5"/>
    <col width="21.5703125" bestFit="1" customWidth="1" min="6" max="6"/>
    <col width="23.85546875" bestFit="1" customWidth="1" min="7" max="7"/>
    <col width="20.85546875" bestFit="1" customWidth="1" min="8" max="8"/>
    <col width="11" bestFit="1" customWidth="1" min="9" max="9"/>
    <col width="25" bestFit="1" customWidth="1" min="10" max="10"/>
    <col width="10" bestFit="1" customWidth="1" min="11" max="11"/>
    <col width="15.5703125" bestFit="1" customWidth="1" min="12" max="13"/>
    <col width="33.28515625" bestFit="1" customWidth="1" min="14" max="14"/>
    <col width="12" bestFit="1" customWidth="1" min="15" max="15"/>
    <col width="28.28515625" bestFit="1" customWidth="1" min="16" max="16"/>
    <col width="24.85546875" bestFit="1" customWidth="1" min="17" max="17"/>
    <col width="23.85546875" bestFit="1" customWidth="1" min="18" max="18"/>
    <col width="13.28515625" bestFit="1" customWidth="1" min="19" max="19"/>
    <col width="14.28515625" bestFit="1" customWidth="1" min="20" max="20"/>
    <col width="16" bestFit="1" customWidth="1" min="21" max="21"/>
    <col width="27.140625" bestFit="1" customWidth="1" min="22" max="22"/>
    <col width="40" bestFit="1" customWidth="1" min="23" max="23"/>
    <col width="27.140625" bestFit="1" customWidth="1" min="24" max="24"/>
    <col width="39" bestFit="1" customWidth="1" min="25" max="25"/>
    <col width="14.140625" bestFit="1" customWidth="1" min="26" max="26"/>
    <col width="29.140625" bestFit="1" customWidth="1" min="27" max="27"/>
    <col width="255.7109375" bestFit="1" customWidth="1" min="28" max="30"/>
  </cols>
  <sheetData>
    <row r="1">
      <c r="A1" s="16" t="inlineStr">
        <is>
          <t>Detalhes do Contagem de SS - Motivo: Sem interrupção, Categoria pelo texto: QUEIMADO</t>
        </is>
      </c>
    </row>
    <row r="3">
      <c r="A3" t="inlineStr">
        <is>
          <t>SS</t>
        </is>
      </c>
      <c r="B3" t="inlineStr">
        <is>
          <t>Mês</t>
        </is>
      </c>
      <c r="C3" t="inlineStr">
        <is>
          <t>Macro categoria</t>
        </is>
      </c>
      <c r="D3" t="inlineStr">
        <is>
          <t>Motivo</t>
        </is>
      </c>
      <c r="E3" t="inlineStr">
        <is>
          <t>Resultado</t>
        </is>
      </c>
      <c r="F3" t="inlineStr">
        <is>
          <t>Categoria pelo texto</t>
        </is>
      </c>
      <c r="G3" t="inlineStr">
        <is>
          <t>Fonte da categoria</t>
        </is>
      </c>
      <c r="H3" t="inlineStr">
        <is>
          <t>Categoria da leitura</t>
        </is>
      </c>
      <c r="I3" t="inlineStr">
        <is>
          <t>Trafo</t>
        </is>
      </c>
      <c r="J3" t="inlineStr">
        <is>
          <t>OS</t>
        </is>
      </c>
      <c r="K3" t="inlineStr">
        <is>
          <t>Obra</t>
        </is>
      </c>
      <c r="L3" t="inlineStr">
        <is>
          <t>Abertura</t>
        </is>
      </c>
      <c r="M3" t="inlineStr">
        <is>
          <t>Término</t>
        </is>
      </c>
      <c r="N3" t="inlineStr">
        <is>
          <t>Tipo da SS</t>
        </is>
      </c>
      <c r="O3" t="inlineStr">
        <is>
          <t>Equipe</t>
        </is>
      </c>
      <c r="P3" t="inlineStr">
        <is>
          <t>Localidade</t>
        </is>
      </c>
      <c r="Q3" t="inlineStr">
        <is>
          <t>Origem da SS</t>
        </is>
      </c>
      <c r="R3" t="inlineStr">
        <is>
          <t>Defeito da SS</t>
        </is>
      </c>
      <c r="S3" t="inlineStr">
        <is>
          <t>NS retirado</t>
        </is>
      </c>
      <c r="T3" t="inlineStr">
        <is>
          <t>NS instalado</t>
        </is>
      </c>
      <c r="U3" t="inlineStr">
        <is>
          <t>Prova de troca</t>
        </is>
      </c>
      <c r="V3" t="inlineStr">
        <is>
          <t>Crítica — causa</t>
        </is>
      </c>
      <c r="W3" t="inlineStr">
        <is>
          <t>Crítica — subcausa</t>
        </is>
      </c>
      <c r="X3" t="inlineStr">
        <is>
          <t>TMAE — causa</t>
        </is>
      </c>
      <c r="Y3" t="inlineStr">
        <is>
          <t>TMAE — subcausa</t>
        </is>
      </c>
      <c r="Z3" t="inlineStr">
        <is>
          <t>No Infotrafo</t>
        </is>
      </c>
      <c r="AA3" t="inlineStr">
        <is>
          <t>Origem da leitura</t>
        </is>
      </c>
      <c r="AB3" t="inlineStr">
        <is>
          <t>Por que saiu</t>
        </is>
      </c>
      <c r="AC3" t="inlineStr">
        <is>
          <t>Texto da SS</t>
        </is>
      </c>
      <c r="AD3" t="inlineStr">
        <is>
          <t>Texto da OS</t>
        </is>
      </c>
    </row>
    <row r="4">
      <c r="A4" t="inlineStr">
        <is>
          <t>ETO-RD-AR 01225/2026</t>
        </is>
      </c>
      <c r="B4" t="inlineStr">
        <is>
          <t>ago</t>
        </is>
      </c>
      <c r="C4" t="inlineStr">
        <is>
          <t>Sem interrupção comprovada</t>
        </is>
      </c>
      <c r="D4" t="inlineStr">
        <is>
          <t>Sem interrupção</t>
        </is>
      </c>
      <c r="E4" t="inlineStr">
        <is>
          <t>EXPURGO</t>
        </is>
      </c>
      <c r="F4" t="inlineStr">
        <is>
          <t>QUEIMADO</t>
        </is>
      </c>
      <c r="G4" t="inlineStr">
        <is>
          <t>leitura do texto (jan–ago)</t>
        </is>
      </c>
      <c r="H4" t="inlineStr">
        <is>
          <t>AUSENTE DA CRÍTICA</t>
        </is>
      </c>
      <c r="I4" t="n">
        <v>5720186077</v>
      </c>
      <c r="J4" t="inlineStr">
        <is>
          <t>ENC-MPAR02  000052/2026</t>
        </is>
      </c>
      <c r="K4" t="n">
        <v>612600770</v>
      </c>
      <c r="L4" t="inlineStr">
        <is>
          <t>2026-08-08 12:30</t>
        </is>
      </c>
      <c r="M4" t="inlineStr">
        <is>
          <t>2026-08-09 01:52</t>
        </is>
      </c>
      <c r="N4" t="inlineStr">
        <is>
          <t>FORMS SUBST DE TRANSFORMADOR</t>
        </is>
      </c>
      <c r="O4" t="inlineStr">
        <is>
          <t>ETO-RD-AR</t>
        </is>
      </c>
      <c r="P4" t="inlineStr">
        <is>
          <t>GOIATINS</t>
        </is>
      </c>
      <c r="Q4" t="inlineStr">
        <is>
          <t>QUEIMADO</t>
        </is>
      </c>
      <c r="R4" t="inlineStr">
        <is>
          <t>NÃO IDENTIFICADO</t>
        </is>
      </c>
      <c r="S4" t="inlineStr">
        <is>
          <t>978259</t>
        </is>
      </c>
      <c r="U4" t="inlineStr">
        <is>
          <t>não</t>
        </is>
      </c>
      <c r="Z4" t="inlineStr">
        <is>
          <t>SIM</t>
        </is>
      </c>
      <c r="AA4" t="inlineStr">
        <is>
          <t>Crítica + TMAE de agosto (novo)</t>
        </is>
      </c>
      <c r="AB4"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c r="AC4" t="inlineStr">
        <is>
          <t>TRANSFORMADOR QUEIMADO, PARA RAIO QUEIMADO.ACESSO A CAMINHONETE</t>
        </is>
      </c>
      <c r="AD4" s="15" t="inlineStr">
        <is>
          <t xml:space="preserve">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 </t>
        </is>
      </c>
    </row>
    <row r="5">
      <c r="A5" t="inlineStr">
        <is>
          <t>DOLP-RD-PA 00888/2026</t>
        </is>
      </c>
      <c r="B5" t="inlineStr">
        <is>
          <t>ago</t>
        </is>
      </c>
      <c r="C5" t="inlineStr">
        <is>
          <t>Sem interrupção comprovada</t>
        </is>
      </c>
      <c r="D5" t="inlineStr">
        <is>
          <t>Sem interrupção</t>
        </is>
      </c>
      <c r="E5" t="inlineStr">
        <is>
          <t>EXPURGO</t>
        </is>
      </c>
      <c r="F5" t="inlineStr">
        <is>
          <t>QUEIMADO</t>
        </is>
      </c>
      <c r="G5" t="inlineStr">
        <is>
          <t>leitura do texto (jan–ago)</t>
        </is>
      </c>
      <c r="H5" t="inlineStr">
        <is>
          <t>AUSENTE DA CRÍTICA</t>
        </is>
      </c>
      <c r="I5" t="n">
        <v>5750729059</v>
      </c>
      <c r="J5" t="inlineStr">
        <is>
          <t>DLP-MPPA01  000293/2026</t>
        </is>
      </c>
      <c r="L5" t="inlineStr">
        <is>
          <t>2026-08-22 13:11</t>
        </is>
      </c>
      <c r="M5" t="inlineStr">
        <is>
          <t>2026-08-22 18:00</t>
        </is>
      </c>
      <c r="N5" t="inlineStr">
        <is>
          <t>FORMS SUBST DE TRANSFORMADOR</t>
        </is>
      </c>
      <c r="O5" t="inlineStr">
        <is>
          <t>DOLP-RD-PA</t>
        </is>
      </c>
      <c r="P5" t="inlineStr">
        <is>
          <t>PALMAS</t>
        </is>
      </c>
      <c r="Q5" t="inlineStr">
        <is>
          <t>QUEIMADO</t>
        </is>
      </c>
      <c r="R5" t="inlineStr">
        <is>
          <t>NÃO IDENTIFICADO</t>
        </is>
      </c>
      <c r="S5" t="inlineStr">
        <is>
          <t>00</t>
        </is>
      </c>
      <c r="T5" t="n">
        <v>0</v>
      </c>
      <c r="U5" t="inlineStr">
        <is>
          <t>não</t>
        </is>
      </c>
      <c r="Z5" t="inlineStr">
        <is>
          <t>SIM</t>
        </is>
      </c>
      <c r="AA5" t="inlineStr">
        <is>
          <t>Crítica + TMAE de agosto (novo)</t>
        </is>
      </c>
      <c r="AB5"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c r="AC5"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AD5" s="15" t="inlineStr">
        <is>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is>
      </c>
    </row>
    <row r="6">
      <c r="A6" t="inlineStr">
        <is>
          <t>ETO-RD-GR 00632/2026</t>
        </is>
      </c>
      <c r="B6" t="inlineStr">
        <is>
          <t>jun</t>
        </is>
      </c>
      <c r="C6" t="inlineStr">
        <is>
          <t>Sem interrupção comprovada</t>
        </is>
      </c>
      <c r="D6" t="inlineStr">
        <is>
          <t>Sem interrupção</t>
        </is>
      </c>
      <c r="E6" t="inlineStr">
        <is>
          <t>EXPURGO</t>
        </is>
      </c>
      <c r="F6" t="inlineStr">
        <is>
          <t>QUEIMADO</t>
        </is>
      </c>
      <c r="G6" t="inlineStr">
        <is>
          <t>esteira 1.582</t>
        </is>
      </c>
      <c r="H6" t="inlineStr">
        <is>
          <t>AUSENTE DA CRÍTICA</t>
        </is>
      </c>
      <c r="I6" t="n">
        <v>5700782153</v>
      </c>
      <c r="J6" t="inlineStr">
        <is>
          <t>ENC-MLGR01  000151/2026</t>
        </is>
      </c>
      <c r="K6" t="n">
        <v>712600426</v>
      </c>
      <c r="L6" t="inlineStr">
        <is>
          <t>2026-06-19 15:57</t>
        </is>
      </c>
      <c r="M6" t="inlineStr">
        <is>
          <t>2026-06-20 14:13</t>
        </is>
      </c>
      <c r="N6" t="inlineStr">
        <is>
          <t>FORMS SUBST DE TRANSFORMADOR</t>
        </is>
      </c>
      <c r="O6" t="inlineStr">
        <is>
          <t>ETO-RD-GR</t>
        </is>
      </c>
      <c r="P6" t="inlineStr">
        <is>
          <t>BERNARDO SAYAO</t>
        </is>
      </c>
      <c r="Q6" t="inlineStr">
        <is>
          <t>QUEIMADO</t>
        </is>
      </c>
      <c r="R6" t="inlineStr">
        <is>
          <t>NÃO IDENTIFICADO</t>
        </is>
      </c>
      <c r="S6" t="inlineStr">
        <is>
          <t>846016</t>
        </is>
      </c>
      <c r="T6" t="n">
        <v>830326</v>
      </c>
      <c r="U6" t="inlineStr">
        <is>
          <t>sim</t>
        </is>
      </c>
      <c r="V6" t="inlineStr">
        <is>
          <t>CONDUTOR DE AT</t>
        </is>
      </c>
      <c r="W6" t="inlineStr">
        <is>
          <t>PARTIDO NA FASE</t>
        </is>
      </c>
      <c r="Z6" t="inlineStr">
        <is>
          <t>SIM</t>
        </is>
      </c>
      <c r="AA6" t="inlineStr">
        <is>
          <t>leitura caso a caso</t>
        </is>
      </c>
      <c r="AB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 t="inlineStr">
        <is>
          <t>TRANSFORMADOR DE 10KVA NA 34,5KV, QUEIMADO, ACESSO CAMINHONETE.</t>
        </is>
      </c>
      <c r="AD6" s="15" t="inlineStr">
        <is>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is>
      </c>
    </row>
    <row r="7">
      <c r="A7" t="inlineStr">
        <is>
          <t>ENC-RD-PS 00594/2026</t>
        </is>
      </c>
      <c r="B7" t="inlineStr">
        <is>
          <t>jun</t>
        </is>
      </c>
      <c r="C7" t="inlineStr">
        <is>
          <t>Sem interrupção comprovada</t>
        </is>
      </c>
      <c r="D7" t="inlineStr">
        <is>
          <t>Sem interrupção</t>
        </is>
      </c>
      <c r="E7" t="inlineStr">
        <is>
          <t>EXPURGO</t>
        </is>
      </c>
      <c r="F7" t="inlineStr">
        <is>
          <t>QUEIMADO</t>
        </is>
      </c>
      <c r="G7" t="inlineStr">
        <is>
          <t>esteira 1.582</t>
        </is>
      </c>
      <c r="H7" t="inlineStr">
        <is>
          <t>AUSENTE DA CRÍTICA</t>
        </is>
      </c>
      <c r="I7" t="n">
        <v>5700417110</v>
      </c>
      <c r="J7" t="inlineStr">
        <is>
          <t>ENC-LMPS03  000095/2026</t>
        </is>
      </c>
      <c r="K7" t="n">
        <v>212600540</v>
      </c>
      <c r="L7" t="inlineStr">
        <is>
          <t>2026-06-21 13:30</t>
        </is>
      </c>
      <c r="M7" t="inlineStr">
        <is>
          <t>2026-06-22 19:24</t>
        </is>
      </c>
      <c r="N7" t="inlineStr">
        <is>
          <t>FORMS SUBST DE TRANSFORMADOR</t>
        </is>
      </c>
      <c r="O7" t="inlineStr">
        <is>
          <t>ENC-RD-PS</t>
        </is>
      </c>
      <c r="P7" t="inlineStr">
        <is>
          <t>SANTA RITA DO TOCANTINS</t>
        </is>
      </c>
      <c r="Q7" t="inlineStr">
        <is>
          <t>QUEIMADO</t>
        </is>
      </c>
      <c r="R7" t="inlineStr">
        <is>
          <t>NÃO IDENTIFICADO</t>
        </is>
      </c>
      <c r="S7" t="inlineStr">
        <is>
          <t>462535</t>
        </is>
      </c>
      <c r="T7" t="n">
        <v>822924</v>
      </c>
      <c r="U7" t="inlineStr">
        <is>
          <t>sim</t>
        </is>
      </c>
      <c r="Z7" t="inlineStr">
        <is>
          <t>SIM</t>
        </is>
      </c>
      <c r="AA7" t="inlineStr">
        <is>
          <t>leitura caso a caso</t>
        </is>
      </c>
      <c r="AB7" t="inlineStr">
        <is>
          <t>Fora do indicador: o código não aparece na Crítica em papel nenhum — nem com defeito, nem interrompido, nem manobrado — nos sete meses do acervo; nem o teste do vizinho achou explicação.</t>
        </is>
      </c>
      <c r="AC7"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D7" s="15" t="inlineStr">
        <is>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is>
      </c>
    </row>
    <row r="8">
      <c r="A8" t="inlineStr">
        <is>
          <t>ENC-RD-PS 00546/2026</t>
        </is>
      </c>
      <c r="B8" t="inlineStr">
        <is>
          <t>jun</t>
        </is>
      </c>
      <c r="C8" t="inlineStr">
        <is>
          <t>Sem interrupção comprovada</t>
        </is>
      </c>
      <c r="D8" t="inlineStr">
        <is>
          <t>Sem interrupção</t>
        </is>
      </c>
      <c r="E8" t="inlineStr">
        <is>
          <t>EXPURGO</t>
        </is>
      </c>
      <c r="F8" t="inlineStr">
        <is>
          <t>QUEIMADO</t>
        </is>
      </c>
      <c r="G8" t="inlineStr">
        <is>
          <t>esteira 1.582</t>
        </is>
      </c>
      <c r="H8" t="inlineStr">
        <is>
          <t>AUSENTE DA CRÍTICA</t>
        </is>
      </c>
      <c r="I8" t="n">
        <v>5701119075</v>
      </c>
      <c r="J8" t="inlineStr">
        <is>
          <t>ENC-LMPS03  000087/2026</t>
        </is>
      </c>
      <c r="K8" t="n">
        <v>212600505</v>
      </c>
      <c r="L8" t="inlineStr">
        <is>
          <t>2026-06-01 16:44</t>
        </is>
      </c>
      <c r="M8" t="inlineStr">
        <is>
          <t>2026-06-02 17:57</t>
        </is>
      </c>
      <c r="N8" t="inlineStr">
        <is>
          <t>FORMS SUBST DE TRANSFORMADOR</t>
        </is>
      </c>
      <c r="O8" t="inlineStr">
        <is>
          <t>ENC-RD-PS</t>
        </is>
      </c>
      <c r="P8" t="inlineStr">
        <is>
          <t>DOIS IRMAOS DO TOCANTINS</t>
        </is>
      </c>
      <c r="Q8" t="inlineStr">
        <is>
          <t>AVARIADO</t>
        </is>
      </c>
      <c r="R8" t="inlineStr">
        <is>
          <t>VAZAMENTO DE ÓLEO</t>
        </is>
      </c>
      <c r="S8" t="inlineStr">
        <is>
          <t>379996</t>
        </is>
      </c>
      <c r="U8" t="inlineStr">
        <is>
          <t>não</t>
        </is>
      </c>
      <c r="Z8" t="inlineStr">
        <is>
          <t>SIM</t>
        </is>
      </c>
      <c r="AA8" t="inlineStr">
        <is>
          <t>leitura caso a caso</t>
        </is>
      </c>
      <c r="AB8" t="inlineStr">
        <is>
          <t>Fora do indicador: o ativo não existe na base de interrupção. Sem registro de interrupção não há evento a medir.</t>
        </is>
      </c>
      <c r="AC8" t="inlineStr">
        <is>
          <t>5701119075 15KVA 34,5KV ACESSO BOM E PARA-RAIOS 075OP02</t>
        </is>
      </c>
      <c r="AD8" s="15" t="inlineStr">
        <is>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is>
      </c>
    </row>
    <row r="9">
      <c r="A9" t="inlineStr">
        <is>
          <t>DOLP-RD-PA 00621/2026</t>
        </is>
      </c>
      <c r="B9" t="inlineStr">
        <is>
          <t>jun</t>
        </is>
      </c>
      <c r="C9" t="inlineStr">
        <is>
          <t>Sem interrupção comprovada</t>
        </is>
      </c>
      <c r="D9" t="inlineStr">
        <is>
          <t>Sem interrupção</t>
        </is>
      </c>
      <c r="E9" t="inlineStr">
        <is>
          <t>EXPURGO</t>
        </is>
      </c>
      <c r="F9" t="inlineStr">
        <is>
          <t>QUEIMADO</t>
        </is>
      </c>
      <c r="G9" t="inlineStr">
        <is>
          <t>esteira 1.582</t>
        </is>
      </c>
      <c r="H9" t="inlineStr">
        <is>
          <t>AUSENTE DA CRÍTICA</t>
        </is>
      </c>
      <c r="I9" t="n">
        <v>5711684122</v>
      </c>
      <c r="J9" t="inlineStr">
        <is>
          <t>DLP-MLPA03  000083/2026</t>
        </is>
      </c>
      <c r="K9" t="n">
        <v>112600598</v>
      </c>
      <c r="L9" t="inlineStr">
        <is>
          <t>2026-06-01 12:34</t>
        </is>
      </c>
      <c r="M9" t="inlineStr">
        <is>
          <t>2026-05-22 18:00</t>
        </is>
      </c>
      <c r="N9" t="inlineStr">
        <is>
          <t>FORMS SUBST DE TRANSFORMADOR</t>
        </is>
      </c>
      <c r="O9" t="inlineStr">
        <is>
          <t>DOLP-RD-PA</t>
        </is>
      </c>
      <c r="P9" t="inlineStr">
        <is>
          <t>PALMAS</t>
        </is>
      </c>
      <c r="Q9" t="inlineStr">
        <is>
          <t>QUEIMADO</t>
        </is>
      </c>
      <c r="R9" t="inlineStr">
        <is>
          <t>DESCARGA ATMOSFÉRICA</t>
        </is>
      </c>
      <c r="S9" t="inlineStr">
        <is>
          <t>361897</t>
        </is>
      </c>
      <c r="T9" t="n">
        <v>303259</v>
      </c>
      <c r="U9" t="inlineStr">
        <is>
          <t>sim</t>
        </is>
      </c>
      <c r="Z9" t="inlineStr">
        <is>
          <t>SIM</t>
        </is>
      </c>
      <c r="AA9" t="inlineStr">
        <is>
          <t>leitura caso a caso</t>
        </is>
      </c>
      <c r="AB9" t="inlineStr">
        <is>
          <t>Fora do indicador: o ativo não existe na base de interrupção. Sem registro de interrupção não há evento a medir.</t>
        </is>
      </c>
      <c r="AC9" t="inlineStr">
        <is>
          <t>TRAFO 5711684122 QUEIMADOPOTÊNCIA: 15 KVATENSÃO: 19,9 KVACESSO: LIVRE</t>
        </is>
      </c>
      <c r="AD9" s="15" t="inlineStr">
        <is>
          <t xml:space="preserve">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t>
        </is>
      </c>
    </row>
    <row r="10">
      <c r="A10" t="inlineStr">
        <is>
          <t>ETO-RD-AR 00872/2026</t>
        </is>
      </c>
      <c r="B10" t="inlineStr">
        <is>
          <t>mai</t>
        </is>
      </c>
      <c r="C10" t="inlineStr">
        <is>
          <t>Sem interrupção comprovada</t>
        </is>
      </c>
      <c r="D10" t="inlineStr">
        <is>
          <t>Sem interrupção</t>
        </is>
      </c>
      <c r="E10" t="inlineStr">
        <is>
          <t>EXPURGO</t>
        </is>
      </c>
      <c r="F10" t="inlineStr">
        <is>
          <t>QUEIMADO</t>
        </is>
      </c>
      <c r="G10" t="inlineStr">
        <is>
          <t>esteira 1.582</t>
        </is>
      </c>
      <c r="H10" t="inlineStr">
        <is>
          <t>AUSENTE DA CRÍTICA</t>
        </is>
      </c>
      <c r="I10" t="n">
        <v>5710241016</v>
      </c>
      <c r="J10" t="inlineStr">
        <is>
          <t>ENC-MLAR01  000202/2026</t>
        </is>
      </c>
      <c r="K10" t="n">
        <v>612600532</v>
      </c>
      <c r="L10" t="inlineStr">
        <is>
          <t>2026-05-17 17:55</t>
        </is>
      </c>
      <c r="M10" t="inlineStr">
        <is>
          <t>2026-05-18 16:15</t>
        </is>
      </c>
      <c r="N10" t="inlineStr">
        <is>
          <t>FORMS SUBST DE TRANSFORMADOR</t>
        </is>
      </c>
      <c r="O10" t="inlineStr">
        <is>
          <t>ETO-RD-AR</t>
        </is>
      </c>
      <c r="P10" t="inlineStr">
        <is>
          <t>WANDERLANDIA</t>
        </is>
      </c>
      <c r="Q10" t="inlineStr">
        <is>
          <t>QUEIMADO</t>
        </is>
      </c>
      <c r="R10" t="inlineStr">
        <is>
          <t>DESCARGA ATMOSFÉRICA</t>
        </is>
      </c>
      <c r="S10" t="inlineStr">
        <is>
          <t>66567</t>
        </is>
      </c>
      <c r="T10" t="n">
        <v>469632</v>
      </c>
      <c r="U10" t="inlineStr">
        <is>
          <t>sim</t>
        </is>
      </c>
      <c r="V10" t="inlineStr">
        <is>
          <t>MEIO AMBIENTE</t>
        </is>
      </c>
      <c r="W10" t="inlineStr">
        <is>
          <t>DESCARGA ATMOSFERICA</t>
        </is>
      </c>
      <c r="Z10" t="inlineStr">
        <is>
          <t>SIM</t>
        </is>
      </c>
      <c r="AA10" t="inlineStr">
        <is>
          <t>leitura caso a caso</t>
        </is>
      </c>
      <c r="AB1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 t="inlineStr">
        <is>
          <t>Trafo 5710241016 Queimado Potencia: 10 KVATensão: 34,5 KVPara raio: Queimado Acesso: livreEquipe: 004op26 (63)99214-9597</t>
        </is>
      </c>
      <c r="AD10" s="15" t="inlineStr">
        <is>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is>
      </c>
    </row>
    <row r="11">
      <c r="A11" t="inlineStr">
        <is>
          <t>ETO-RD-AG 00508/2026</t>
        </is>
      </c>
      <c r="B11" t="inlineStr">
        <is>
          <t>mai</t>
        </is>
      </c>
      <c r="C11" t="inlineStr">
        <is>
          <t>Sem interrupção comprovada</t>
        </is>
      </c>
      <c r="D11" t="inlineStr">
        <is>
          <t>Sem interrupção</t>
        </is>
      </c>
      <c r="E11" t="inlineStr">
        <is>
          <t>EXPURGO</t>
        </is>
      </c>
      <c r="F11" t="inlineStr">
        <is>
          <t>QUEIMADO</t>
        </is>
      </c>
      <c r="G11" t="inlineStr">
        <is>
          <t>esteira 1.582</t>
        </is>
      </c>
      <c r="H11" t="inlineStr">
        <is>
          <t>AUSENTE DA CRÍTICA</t>
        </is>
      </c>
      <c r="I11" t="n">
        <v>5701508039</v>
      </c>
      <c r="J11" t="inlineStr">
        <is>
          <t>ENC-MLAG01  000127/2026</t>
        </is>
      </c>
      <c r="K11" t="n">
        <v>662600315</v>
      </c>
      <c r="L11" t="inlineStr">
        <is>
          <t>2026-05-15 13:32</t>
        </is>
      </c>
      <c r="M11" t="inlineStr">
        <is>
          <t>2026-05-16 23:48</t>
        </is>
      </c>
      <c r="N11" t="inlineStr">
        <is>
          <t>FORMS SUBST DE TRANSFORMADOR</t>
        </is>
      </c>
      <c r="O11" t="inlineStr">
        <is>
          <t>ETO-RD-AG</t>
        </is>
      </c>
      <c r="P11" t="inlineStr">
        <is>
          <t>ARAGUATINS</t>
        </is>
      </c>
      <c r="Q11" t="inlineStr">
        <is>
          <t>QUEIMADO</t>
        </is>
      </c>
      <c r="R11" t="inlineStr">
        <is>
          <t>DESCARGA ATMOSFÉRICA</t>
        </is>
      </c>
      <c r="S11" t="inlineStr">
        <is>
          <t>125111</t>
        </is>
      </c>
      <c r="U11" t="inlineStr">
        <is>
          <t>não</t>
        </is>
      </c>
      <c r="Z11" t="inlineStr">
        <is>
          <t>SIM</t>
        </is>
      </c>
      <c r="AA11" t="inlineStr">
        <is>
          <t>leitura caso a caso</t>
        </is>
      </c>
      <c r="AB11" t="inlineStr">
        <is>
          <t>Fora do indicador: o ativo não existe na base de interrupção. Sem registro de interrupção não há evento a medir.</t>
        </is>
      </c>
      <c r="AC11" t="inlineStr">
        <is>
          <t>trafo queimado 5701508039 - 15KVA - 34,5KV - para raio queimado - acesso caminhonete. IND CHACARA BOA ESPERANCA - cliente: JUNHO ALVES DE SOUSA - 63992753298REF PROX AO PEQUENO E AO VALDINAR RDR ARAGUATINS</t>
        </is>
      </c>
      <c r="AD11" s="15"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t>
        </is>
      </c>
    </row>
    <row r="12">
      <c r="A12" t="inlineStr">
        <is>
          <t>ETO-RD-AG 00489/2026</t>
        </is>
      </c>
      <c r="B12" t="inlineStr">
        <is>
          <t>mai</t>
        </is>
      </c>
      <c r="C12" t="inlineStr">
        <is>
          <t>Sem interrupção comprovada</t>
        </is>
      </c>
      <c r="D12" t="inlineStr">
        <is>
          <t>Sem interrupção</t>
        </is>
      </c>
      <c r="E12" t="inlineStr">
        <is>
          <t>EXPURGO</t>
        </is>
      </c>
      <c r="F12" t="inlineStr">
        <is>
          <t>QUEIMADO</t>
        </is>
      </c>
      <c r="G12" t="inlineStr">
        <is>
          <t>esteira 1.582</t>
        </is>
      </c>
      <c r="H12" t="inlineStr">
        <is>
          <t>AUSENTE DA CRÍTICA</t>
        </is>
      </c>
      <c r="I12" t="n">
        <v>5701350103</v>
      </c>
      <c r="J12" t="inlineStr">
        <is>
          <t>ENC-MLAG01  000121/2026</t>
        </is>
      </c>
      <c r="K12" t="n">
        <v>662600297</v>
      </c>
      <c r="L12" t="inlineStr">
        <is>
          <t>2026-05-08 12:16</t>
        </is>
      </c>
      <c r="M12" t="inlineStr">
        <is>
          <t>2026-05-11 08:35</t>
        </is>
      </c>
      <c r="N12" t="inlineStr">
        <is>
          <t>FORMS SUBST DE TRANSFORMADOR</t>
        </is>
      </c>
      <c r="O12" t="inlineStr">
        <is>
          <t>ETO-RD-AG</t>
        </is>
      </c>
      <c r="P12" t="inlineStr">
        <is>
          <t>SAO MIGUEL DO TOCANTINS</t>
        </is>
      </c>
      <c r="Q12" t="inlineStr">
        <is>
          <t>AVARIADO</t>
        </is>
      </c>
      <c r="R12" t="inlineStr">
        <is>
          <t>BUCHA DANIFICADA</t>
        </is>
      </c>
      <c r="S12" t="inlineStr">
        <is>
          <t>184716</t>
        </is>
      </c>
      <c r="T12" t="n">
        <v>828146</v>
      </c>
      <c r="U12" t="inlineStr">
        <is>
          <t>sim</t>
        </is>
      </c>
      <c r="Z12" t="inlineStr">
        <is>
          <t>SIM</t>
        </is>
      </c>
      <c r="AA12" t="inlineStr">
        <is>
          <t>leitura caso a caso</t>
        </is>
      </c>
      <c r="AB12" t="inlineStr">
        <is>
          <t>Fora do indicador: o ativo não existe na base de interrupção. Sem registro de interrupção não há evento a medir.</t>
        </is>
      </c>
      <c r="AC12" t="inlineStr">
        <is>
          <t>Segue SS de transformador 5701350103 Queimado Potencia 10 KVA Tensão: 19.9 KVAcesso livre Fazenda Jangada. Assentamento Camarão II</t>
        </is>
      </c>
      <c r="AD12" s="15"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13">
      <c r="A13" t="inlineStr">
        <is>
          <t>DOLP-RD-PA 00588/2026</t>
        </is>
      </c>
      <c r="B13" t="inlineStr">
        <is>
          <t>mai</t>
        </is>
      </c>
      <c r="C13" t="inlineStr">
        <is>
          <t>Sem interrupção comprovada</t>
        </is>
      </c>
      <c r="D13" t="inlineStr">
        <is>
          <t>Sem interrupção</t>
        </is>
      </c>
      <c r="E13" t="inlineStr">
        <is>
          <t>EXPURGO</t>
        </is>
      </c>
      <c r="F13" t="inlineStr">
        <is>
          <t>QUEIMADO</t>
        </is>
      </c>
      <c r="G13" t="inlineStr">
        <is>
          <t>esteira 1.582</t>
        </is>
      </c>
      <c r="H13" t="inlineStr">
        <is>
          <t>AUSENTE DA CRÍTICA</t>
        </is>
      </c>
      <c r="I13" t="n">
        <v>5761649196</v>
      </c>
      <c r="J13" t="inlineStr">
        <is>
          <t>DLP-CTPA01  000043/2026</t>
        </is>
      </c>
      <c r="K13" t="n">
        <v>112600559</v>
      </c>
      <c r="L13" t="inlineStr">
        <is>
          <t>2026-05-24 00:11</t>
        </is>
      </c>
      <c r="M13" t="inlineStr">
        <is>
          <t>2026-05-24 18:00</t>
        </is>
      </c>
      <c r="N13" t="inlineStr">
        <is>
          <t>FORMS SUBST DE TRANSFORMADOR</t>
        </is>
      </c>
      <c r="O13" t="inlineStr">
        <is>
          <t>DOLP-RD-PA</t>
        </is>
      </c>
      <c r="P13" t="inlineStr">
        <is>
          <t>LAGOA DO TOCANTINS</t>
        </is>
      </c>
      <c r="Q13" t="inlineStr">
        <is>
          <t>QUEIMADO</t>
        </is>
      </c>
      <c r="R13" t="inlineStr">
        <is>
          <t>NÃO IDENTIFICADO</t>
        </is>
      </c>
      <c r="S13" t="inlineStr">
        <is>
          <t>0</t>
        </is>
      </c>
      <c r="T13" t="n">
        <v>0</v>
      </c>
      <c r="U13" t="inlineStr">
        <is>
          <t>não</t>
        </is>
      </c>
      <c r="V13" t="inlineStr">
        <is>
          <t>TRANSFORMADOR</t>
        </is>
      </c>
      <c r="W13" t="inlineStr">
        <is>
          <t>QUEIMADO POR CAUSA NAO IDENTIFICADA</t>
        </is>
      </c>
      <c r="Z13" t="inlineStr">
        <is>
          <t>SIM</t>
        </is>
      </c>
      <c r="AA13" t="inlineStr">
        <is>
          <t>leitura caso a caso</t>
        </is>
      </c>
      <c r="AB1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3" t="inlineStr">
        <is>
          <t>TRAFO QUEIMADO</t>
        </is>
      </c>
      <c r="AD13" s="15" t="inlineStr">
        <is>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is>
      </c>
    </row>
    <row r="14">
      <c r="A14" t="inlineStr">
        <is>
          <t>DOLP-RD-PA 00552/2026</t>
        </is>
      </c>
      <c r="B14" t="inlineStr">
        <is>
          <t>mai</t>
        </is>
      </c>
      <c r="C14" t="inlineStr">
        <is>
          <t>Sem interrupção comprovada</t>
        </is>
      </c>
      <c r="D14" t="inlineStr">
        <is>
          <t>Sem interrupção</t>
        </is>
      </c>
      <c r="E14" t="inlineStr">
        <is>
          <t>EXPURGO</t>
        </is>
      </c>
      <c r="F14" t="inlineStr">
        <is>
          <t>QUEIMADO</t>
        </is>
      </c>
      <c r="G14" t="inlineStr">
        <is>
          <t>esteira 1.582</t>
        </is>
      </c>
      <c r="H14" t="inlineStr">
        <is>
          <t>AUSENTE DA CRÍTICA</t>
        </is>
      </c>
      <c r="I14" t="n">
        <v>5365343122</v>
      </c>
      <c r="J14" t="inlineStr">
        <is>
          <t>DLP-MLPA01  000157/2026</t>
        </is>
      </c>
      <c r="K14" t="n">
        <v>112600511</v>
      </c>
      <c r="L14" t="inlineStr">
        <is>
          <t>2026-05-12 17:38</t>
        </is>
      </c>
      <c r="M14" t="inlineStr">
        <is>
          <t>2026-05-13 18:00</t>
        </is>
      </c>
      <c r="N14" t="inlineStr">
        <is>
          <t>FORMS SUBST DE TRANSFORMADOR</t>
        </is>
      </c>
      <c r="O14" t="inlineStr">
        <is>
          <t>DOLP-RD-PA</t>
        </is>
      </c>
      <c r="P14" t="inlineStr">
        <is>
          <t>PALMAS</t>
        </is>
      </c>
      <c r="S14" t="inlineStr">
        <is>
          <t>1600171</t>
        </is>
      </c>
      <c r="T14" t="n">
        <v>299975</v>
      </c>
      <c r="U14" t="inlineStr">
        <is>
          <t>sim</t>
        </is>
      </c>
      <c r="Z14" t="inlineStr">
        <is>
          <t>SIM</t>
        </is>
      </c>
      <c r="AA14" t="inlineStr">
        <is>
          <t>leitura caso a caso</t>
        </is>
      </c>
      <c r="AB14" t="inlineStr">
        <is>
          <t>Fora do indicador: o ativo não existe na base de interrupção. Sem registro de interrupção não há evento a medir.</t>
        </is>
      </c>
      <c r="AC14" t="inlineStr">
        <is>
          <t>segue ss de 01 trafo de 25 kvar e 01 para raio queimado da rede de 13.800kv e para raio queimado para ser subistituido pela equipe de manutencão  acesso livre equipe que atendeu 059op14 cel,  63992432595/985159679 chave de referencia, 5365343122</t>
        </is>
      </c>
      <c r="AD14" s="15"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t>
        </is>
      </c>
    </row>
    <row r="15">
      <c r="A15" t="inlineStr">
        <is>
          <t>ETO-RD-GU 00440/2026</t>
        </is>
      </c>
      <c r="B15" t="inlineStr">
        <is>
          <t>abr</t>
        </is>
      </c>
      <c r="C15" t="inlineStr">
        <is>
          <t>Sem interrupção comprovada</t>
        </is>
      </c>
      <c r="D15" t="inlineStr">
        <is>
          <t>Sem interrupção</t>
        </is>
      </c>
      <c r="E15" t="inlineStr">
        <is>
          <t>EXPURGO</t>
        </is>
      </c>
      <c r="F15" t="inlineStr">
        <is>
          <t>QUEIMADO</t>
        </is>
      </c>
      <c r="G15" t="inlineStr">
        <is>
          <t>esteira 1.582</t>
        </is>
      </c>
      <c r="H15" t="inlineStr">
        <is>
          <t>AUSENTE DA CRÍTICA</t>
        </is>
      </c>
      <c r="I15" t="n">
        <v>5700284148</v>
      </c>
      <c r="J15" t="inlineStr">
        <is>
          <t>DBM-MLDB05  000086/2026</t>
        </is>
      </c>
      <c r="K15" t="n">
        <v>412600378</v>
      </c>
      <c r="L15" t="inlineStr">
        <is>
          <t>2026-04-07 18:19</t>
        </is>
      </c>
      <c r="M15" t="inlineStr">
        <is>
          <t>2026-04-08 20:00</t>
        </is>
      </c>
      <c r="N15" t="inlineStr">
        <is>
          <t>FORMS SUBST DE TRANSFORMADOR</t>
        </is>
      </c>
      <c r="O15" t="inlineStr">
        <is>
          <t>ETO-RD-GU</t>
        </is>
      </c>
      <c r="P15" t="inlineStr">
        <is>
          <t>SAO VALERIO</t>
        </is>
      </c>
      <c r="Q15" t="inlineStr">
        <is>
          <t>SOBRECARGA PREVENTIVA</t>
        </is>
      </c>
      <c r="R15" t="inlineStr">
        <is>
          <t>NÃO IDENTIFICADO</t>
        </is>
      </c>
      <c r="S15" t="inlineStr">
        <is>
          <t>1025954</t>
        </is>
      </c>
      <c r="T15" t="n">
        <v>827970</v>
      </c>
      <c r="U15" t="inlineStr">
        <is>
          <t>sim</t>
        </is>
      </c>
      <c r="Z15" t="inlineStr">
        <is>
          <t>não</t>
        </is>
      </c>
      <c r="AA15" t="inlineStr">
        <is>
          <t>leitura caso a caso</t>
        </is>
      </c>
      <c r="AB15" t="inlineStr">
        <is>
          <t>Fora do indicador: o ativo não existe na base de interrupção. Sem registro de interrupção não há evento a medir.</t>
        </is>
      </c>
      <c r="AC15" t="inlineStr">
        <is>
          <t>SEGUE SS DE TRAFO QUEIMADO NA RDR DE SAO VALERIO, TRAFO DE 15KVA NA REDE DE 19.9KV, TRAFO E PARARAIO QUEIMADO, ACESSO LIVRE PARA CAMINHONETE.</t>
        </is>
      </c>
      <c r="AD15" s="15" t="inlineStr">
        <is>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is>
      </c>
    </row>
    <row r="16">
      <c r="A16" t="inlineStr">
        <is>
          <t>ETO-RD-GR 00400/2026</t>
        </is>
      </c>
      <c r="B16" t="inlineStr">
        <is>
          <t>abr</t>
        </is>
      </c>
      <c r="C16" t="inlineStr">
        <is>
          <t>Sem interrupção comprovada</t>
        </is>
      </c>
      <c r="D16" t="inlineStr">
        <is>
          <t>Sem interrupção</t>
        </is>
      </c>
      <c r="E16" t="inlineStr">
        <is>
          <t>EXPURGO</t>
        </is>
      </c>
      <c r="F16" t="inlineStr">
        <is>
          <t>QUEIMADO</t>
        </is>
      </c>
      <c r="G16" t="inlineStr">
        <is>
          <t>esteira 1.582</t>
        </is>
      </c>
      <c r="H16" t="inlineStr">
        <is>
          <t>AUSENTE DA CRÍTICA</t>
        </is>
      </c>
      <c r="I16" t="n">
        <v>5700214066</v>
      </c>
      <c r="J16" t="inlineStr">
        <is>
          <t>ENC-MPGR01  000062/2026</t>
        </is>
      </c>
      <c r="K16" t="n">
        <v>712600282</v>
      </c>
      <c r="L16" t="inlineStr">
        <is>
          <t>2026-04-03 10:19</t>
        </is>
      </c>
      <c r="M16" t="inlineStr">
        <is>
          <t>2026-04-03 21:05</t>
        </is>
      </c>
      <c r="N16" t="inlineStr">
        <is>
          <t>FORMS SUBST DE TRANSFORMADOR</t>
        </is>
      </c>
      <c r="O16" t="inlineStr">
        <is>
          <t>ETO-RD-GR</t>
        </is>
      </c>
      <c r="P16" t="inlineStr">
        <is>
          <t>TUPIRATINS</t>
        </is>
      </c>
      <c r="Q16" t="inlineStr">
        <is>
          <t>QUEIMADO</t>
        </is>
      </c>
      <c r="R16" t="inlineStr">
        <is>
          <t>DESCARGA ATMOSFÉRICA</t>
        </is>
      </c>
      <c r="S16" t="inlineStr">
        <is>
          <t>389793</t>
        </is>
      </c>
      <c r="T16" t="n">
        <v>828102</v>
      </c>
      <c r="U16" t="inlineStr">
        <is>
          <t>sim</t>
        </is>
      </c>
      <c r="Z16" t="inlineStr">
        <is>
          <t>não</t>
        </is>
      </c>
      <c r="AA16" t="inlineStr">
        <is>
          <t>leitura caso a caso</t>
        </is>
      </c>
      <c r="AB16" t="inlineStr">
        <is>
          <t>Fora do indicador: o código não aparece na Crítica em papel nenhum — nem com defeito, nem interrompido, nem manobrado — nos sete meses do acervo; nem o teste do vizinho achou explicação.</t>
        </is>
      </c>
      <c r="AC16" t="inlineStr">
        <is>
          <t>acionar equipe de manutencao para troca do poste e transformador no RDR de [0066] TUPIRATINStrafo 5700214066poste 10-300 id.: 49935819  estrutura u3-Tequipe 034op03</t>
        </is>
      </c>
      <c r="AD16" s="15" t="inlineStr">
        <is>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is>
      </c>
    </row>
    <row r="17">
      <c r="A17" t="inlineStr">
        <is>
          <t>ETO-RD-DP 00248/2026</t>
        </is>
      </c>
      <c r="B17" t="inlineStr">
        <is>
          <t>abr</t>
        </is>
      </c>
      <c r="C17" t="inlineStr">
        <is>
          <t>Sem interrupção comprovada</t>
        </is>
      </c>
      <c r="D17" t="inlineStr">
        <is>
          <t>Sem interrupção</t>
        </is>
      </c>
      <c r="E17" t="inlineStr">
        <is>
          <t>EXPURGO</t>
        </is>
      </c>
      <c r="F17" t="inlineStr">
        <is>
          <t>QUEIMADO</t>
        </is>
      </c>
      <c r="G17" t="inlineStr">
        <is>
          <t>esteira 1.582</t>
        </is>
      </c>
      <c r="H17" t="inlineStr">
        <is>
          <t>AUSENTE DA CRÍTICA</t>
        </is>
      </c>
      <c r="I17" t="n">
        <v>5700456038</v>
      </c>
      <c r="J17" t="inlineStr">
        <is>
          <t>ETO-RD-DP  000760/2026</t>
        </is>
      </c>
      <c r="K17" t="n">
        <v>512600133</v>
      </c>
      <c r="L17" t="inlineStr">
        <is>
          <t>2026-04-19 12:14</t>
        </is>
      </c>
      <c r="M17" t="inlineStr">
        <is>
          <t>2026-04-24 12:22</t>
        </is>
      </c>
      <c r="N17" t="inlineStr">
        <is>
          <t>FORMS SUBST DE TRANSFORMADOR</t>
        </is>
      </c>
      <c r="O17" t="inlineStr">
        <is>
          <t>ETO-RD-DP</t>
        </is>
      </c>
      <c r="P17" t="inlineStr">
        <is>
          <t>TAGUATINGA</t>
        </is>
      </c>
      <c r="Q17" t="inlineStr">
        <is>
          <t>AVARIADO</t>
        </is>
      </c>
      <c r="R17" t="inlineStr">
        <is>
          <t>BUCHA DANIFICADA</t>
        </is>
      </c>
      <c r="S17" t="inlineStr">
        <is>
          <t>180034</t>
        </is>
      </c>
      <c r="T17" t="n">
        <v>820162</v>
      </c>
      <c r="U17" t="inlineStr">
        <is>
          <t>sim</t>
        </is>
      </c>
      <c r="V17" t="inlineStr">
        <is>
          <t>MEIO AMBIENTE</t>
        </is>
      </c>
      <c r="W17" t="inlineStr">
        <is>
          <t>DESCARGA ATMOSFERICA</t>
        </is>
      </c>
      <c r="Z17" t="inlineStr">
        <is>
          <t>SIM</t>
        </is>
      </c>
      <c r="AA17" t="inlineStr">
        <is>
          <t>leitura caso a caso</t>
        </is>
      </c>
      <c r="AB1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7" t="inlineStr">
        <is>
          <t>trafo e para raio queimado 5700456038 15kva 19.9kv faz.oriente rdr de taguatinga equipe 038op01</t>
        </is>
      </c>
      <c r="AD17" t="inlineStr">
        <is>
          <t>Atendida pela equipe ETO ML DP 02</t>
        </is>
      </c>
    </row>
    <row r="18">
      <c r="A18" t="inlineStr">
        <is>
          <t>ETO-RD-AR 00775/2026</t>
        </is>
      </c>
      <c r="B18" t="inlineStr">
        <is>
          <t>abr</t>
        </is>
      </c>
      <c r="C18" t="inlineStr">
        <is>
          <t>Sem interrupção comprovada</t>
        </is>
      </c>
      <c r="D18" t="inlineStr">
        <is>
          <t>Sem interrupção</t>
        </is>
      </c>
      <c r="E18" t="inlineStr">
        <is>
          <t>EXPURGO</t>
        </is>
      </c>
      <c r="F18" t="inlineStr">
        <is>
          <t>QUEIMADO</t>
        </is>
      </c>
      <c r="G18" t="inlineStr">
        <is>
          <t>esteira 1.582</t>
        </is>
      </c>
      <c r="H18" t="inlineStr">
        <is>
          <t>AUSENTE DA CRÍTICA</t>
        </is>
      </c>
      <c r="I18" t="n">
        <v>5700702019</v>
      </c>
      <c r="J18" t="inlineStr">
        <is>
          <t>ENC-MLAR02  000091/2026</t>
        </is>
      </c>
      <c r="K18" t="n">
        <v>612600471</v>
      </c>
      <c r="L18" t="inlineStr">
        <is>
          <t>2026-04-30 11:15</t>
        </is>
      </c>
      <c r="M18" t="inlineStr">
        <is>
          <t>2026-04-30 18:12</t>
        </is>
      </c>
      <c r="N18" t="inlineStr">
        <is>
          <t>FORMS SUBST DE TRANSFORMADOR</t>
        </is>
      </c>
      <c r="O18" t="inlineStr">
        <is>
          <t>ETO-RD-AR</t>
        </is>
      </c>
      <c r="P18" t="inlineStr">
        <is>
          <t>FILADELFIA</t>
        </is>
      </c>
      <c r="Q18" t="inlineStr">
        <is>
          <t>QUEIMADO</t>
        </is>
      </c>
      <c r="R18" t="inlineStr">
        <is>
          <t>VAZAMENTO DE ÓLEO</t>
        </is>
      </c>
      <c r="S18" t="inlineStr">
        <is>
          <t>126189</t>
        </is>
      </c>
      <c r="T18" t="n">
        <v>799422</v>
      </c>
      <c r="U18" t="inlineStr">
        <is>
          <t>sim</t>
        </is>
      </c>
      <c r="Z18" t="inlineStr">
        <is>
          <t>SIM</t>
        </is>
      </c>
      <c r="AA18" t="inlineStr">
        <is>
          <t>leitura caso a caso</t>
        </is>
      </c>
      <c r="AB18" t="inlineStr">
        <is>
          <t>Fora do indicador: o código não aparece na Crítica em papel nenhum — nem com defeito, nem interrompido, nem manobrado — nos sete meses do acervo; nem o teste do vizinho achou explicação.</t>
        </is>
      </c>
      <c r="AC18" t="inlineStr">
        <is>
          <t>Trafo 5700702019 15kvaAcesso: Livre Equipe:019op02Contato da equipe : 99242-6260</t>
        </is>
      </c>
      <c r="AD18" s="15" t="inlineStr">
        <is>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is>
      </c>
    </row>
    <row r="19">
      <c r="A19" t="inlineStr">
        <is>
          <t>ETO-RD-AR 00773/2026</t>
        </is>
      </c>
      <c r="B19" t="inlineStr">
        <is>
          <t>abr</t>
        </is>
      </c>
      <c r="C19" t="inlineStr">
        <is>
          <t>Sem interrupção comprovada</t>
        </is>
      </c>
      <c r="D19" t="inlineStr">
        <is>
          <t>Sem interrupção</t>
        </is>
      </c>
      <c r="E19" t="inlineStr">
        <is>
          <t>EXPURGO</t>
        </is>
      </c>
      <c r="F19" t="inlineStr">
        <is>
          <t>QUEIMADO</t>
        </is>
      </c>
      <c r="G19" t="inlineStr">
        <is>
          <t>esteira 1.582</t>
        </is>
      </c>
      <c r="H19" t="inlineStr">
        <is>
          <t>AUSENTE DA CRÍTICA</t>
        </is>
      </c>
      <c r="I19" t="n">
        <v>5700290030</v>
      </c>
      <c r="J19" t="inlineStr">
        <is>
          <t>ENC-MLAR05  000206/2026</t>
        </is>
      </c>
      <c r="K19" t="n">
        <v>612600472</v>
      </c>
      <c r="L19" t="inlineStr">
        <is>
          <t>2026-04-29 18:02</t>
        </is>
      </c>
      <c r="M19" t="inlineStr">
        <is>
          <t>2026-04-30 15:53</t>
        </is>
      </c>
      <c r="N19" t="inlineStr">
        <is>
          <t>FORMS SUBST DE TRANSFORMADOR</t>
        </is>
      </c>
      <c r="O19" t="inlineStr">
        <is>
          <t>ETO-RD-AR</t>
        </is>
      </c>
      <c r="P19" t="inlineStr">
        <is>
          <t>PIRAQUE</t>
        </is>
      </c>
      <c r="Q19" t="inlineStr">
        <is>
          <t>QUEIMADO</t>
        </is>
      </c>
      <c r="R19" t="inlineStr">
        <is>
          <t>SOBRECARGA</t>
        </is>
      </c>
      <c r="S19" t="inlineStr">
        <is>
          <t>185261</t>
        </is>
      </c>
      <c r="T19" t="n">
        <v>822886</v>
      </c>
      <c r="U19" t="inlineStr">
        <is>
          <t>sim</t>
        </is>
      </c>
      <c r="Z19" t="inlineStr">
        <is>
          <t>SIM</t>
        </is>
      </c>
      <c r="AA19" t="inlineStr">
        <is>
          <t>leitura caso a caso</t>
        </is>
      </c>
      <c r="AB19" t="inlineStr">
        <is>
          <t>Fora do indicador: o ativo não existe na base de interrupção. Sem registro de interrupção não há evento a medir.</t>
        </is>
      </c>
      <c r="AC19" t="inlineStr">
        <is>
          <t>TRAFO QUEIMADO 5700920030POTENCIA: 5KVATENSÃO: 34,5KVACESSO BOM.PARA-RAIO QUEIMADO.FAZ. MORENA 1</t>
        </is>
      </c>
      <c r="AD19" s="15" t="inlineStr">
        <is>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is>
      </c>
    </row>
    <row r="20">
      <c r="A20" t="inlineStr">
        <is>
          <t>ETO-RD-AR 00763/2026</t>
        </is>
      </c>
      <c r="B20" t="inlineStr">
        <is>
          <t>abr</t>
        </is>
      </c>
      <c r="C20" t="inlineStr">
        <is>
          <t>Sem interrupção comprovada</t>
        </is>
      </c>
      <c r="D20" t="inlineStr">
        <is>
          <t>Sem interrupção</t>
        </is>
      </c>
      <c r="E20" t="inlineStr">
        <is>
          <t>EXPURGO</t>
        </is>
      </c>
      <c r="F20" t="inlineStr">
        <is>
          <t>QUEIMADO</t>
        </is>
      </c>
      <c r="G20" t="inlineStr">
        <is>
          <t>esteira 1.582</t>
        </is>
      </c>
      <c r="H20" t="inlineStr">
        <is>
          <t>AUSENTE DA CRÍTICA</t>
        </is>
      </c>
      <c r="I20" t="n">
        <v>5710235080</v>
      </c>
      <c r="J20" t="inlineStr">
        <is>
          <t>ENC-MPAR01  000046/2026</t>
        </is>
      </c>
      <c r="K20" t="n">
        <v>612600464</v>
      </c>
      <c r="L20" t="inlineStr">
        <is>
          <t>2026-04-29 08:53</t>
        </is>
      </c>
      <c r="M20" t="inlineStr">
        <is>
          <t>2026-04-28 15:50</t>
        </is>
      </c>
      <c r="N20" t="inlineStr">
        <is>
          <t>AVISO DE ANOMALIA</t>
        </is>
      </c>
      <c r="O20" t="inlineStr">
        <is>
          <t>ETO-RD-AR</t>
        </is>
      </c>
      <c r="P20" t="inlineStr">
        <is>
          <t>DARCINOPOLIS</t>
        </is>
      </c>
      <c r="Q20" t="inlineStr">
        <is>
          <t>QUEIMADO</t>
        </is>
      </c>
      <c r="R20" t="inlineStr">
        <is>
          <t>DESCARGA ATMOSFÉRICA</t>
        </is>
      </c>
      <c r="S20" t="inlineStr">
        <is>
          <t>690163</t>
        </is>
      </c>
      <c r="T20" t="n">
        <v>822876</v>
      </c>
      <c r="U20" t="inlineStr">
        <is>
          <t>sim</t>
        </is>
      </c>
      <c r="Z20" t="inlineStr">
        <is>
          <t>não</t>
        </is>
      </c>
      <c r="AA20" t="inlineStr">
        <is>
          <t>leitura caso a caso</t>
        </is>
      </c>
      <c r="AB20" t="inlineStr">
        <is>
          <t>Fora do indicador: o ativo não existe na base de interrupção. Sem registro de interrupção não há evento a medir.</t>
        </is>
      </c>
      <c r="AC20" t="inlineStr">
        <is>
          <t>NOTA ABERTA PARA CORREÇÃO DA SS 751/2026 POIS O TRAFO QUE ESTAVA QUEIMADO E O 5710235080</t>
        </is>
      </c>
      <c r="AD20" s="15" t="inlineStr">
        <is>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is>
      </c>
    </row>
    <row r="21">
      <c r="A21" t="inlineStr">
        <is>
          <t>ETO-RD-AR 00702/2026</t>
        </is>
      </c>
      <c r="B21" t="inlineStr">
        <is>
          <t>abr</t>
        </is>
      </c>
      <c r="C21" t="inlineStr">
        <is>
          <t>Sem interrupção comprovada</t>
        </is>
      </c>
      <c r="D21" t="inlineStr">
        <is>
          <t>Sem interrupção</t>
        </is>
      </c>
      <c r="E21" t="inlineStr">
        <is>
          <t>EXPURGO</t>
        </is>
      </c>
      <c r="F21" t="inlineStr">
        <is>
          <t>QUEIMADO</t>
        </is>
      </c>
      <c r="G21" t="inlineStr">
        <is>
          <t>esteira 1.582</t>
        </is>
      </c>
      <c r="H21" t="inlineStr">
        <is>
          <t>AUSENTE DA CRÍTICA</t>
        </is>
      </c>
      <c r="I21" t="n">
        <v>5701086022</v>
      </c>
      <c r="J21" t="inlineStr">
        <is>
          <t>ENC-MLAR01  000190/2026</t>
        </is>
      </c>
      <c r="K21" t="n">
        <v>612600425</v>
      </c>
      <c r="L21" t="inlineStr">
        <is>
          <t>2026-04-18 17:12</t>
        </is>
      </c>
      <c r="M21" t="inlineStr">
        <is>
          <t>2026-04-19 11:35</t>
        </is>
      </c>
      <c r="N21" t="inlineStr">
        <is>
          <t>FORMS SUBST DE TRANSFORMADOR</t>
        </is>
      </c>
      <c r="O21" t="inlineStr">
        <is>
          <t>ETO-RD-AR</t>
        </is>
      </c>
      <c r="P21" t="inlineStr">
        <is>
          <t>BABACULANDIA</t>
        </is>
      </c>
      <c r="Q21" t="inlineStr">
        <is>
          <t>QUEIMADO</t>
        </is>
      </c>
      <c r="R21" t="inlineStr">
        <is>
          <t>DESCARGA ATMOSFÉRICA</t>
        </is>
      </c>
      <c r="S21" t="inlineStr">
        <is>
          <t>E1274</t>
        </is>
      </c>
      <c r="T21" t="n">
        <v>827915</v>
      </c>
      <c r="U21" t="inlineStr">
        <is>
          <t>sim</t>
        </is>
      </c>
      <c r="V21" t="inlineStr">
        <is>
          <t>CHAVE FUSIVEL/RELIGADORA</t>
        </is>
      </c>
      <c r="W21" t="inlineStr">
        <is>
          <t>PORTA-FUSIVEL DANIFICADO</t>
        </is>
      </c>
      <c r="X21" t="inlineStr">
        <is>
          <t>CHAVE FUSIVEL/RELIGADORA</t>
        </is>
      </c>
      <c r="Y21" t="inlineStr">
        <is>
          <t>PORTA-FUSIVEL DANIFICADO</t>
        </is>
      </c>
      <c r="Z21" t="inlineStr">
        <is>
          <t>SIM</t>
        </is>
      </c>
      <c r="AA21" t="inlineStr">
        <is>
          <t>leitura caso a caso</t>
        </is>
      </c>
      <c r="AB21"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AC21" t="inlineStr">
        <is>
          <t>Trafo 5701086022 Queimado Potencia: 15 KVATensão: 34,5 KVPara raio: Queimado Acesso: livreEquipe: 022op02 (63)99255-6152Obs.: leva porta fusivel</t>
        </is>
      </c>
      <c r="AD21" s="15"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22">
      <c r="A22" t="inlineStr">
        <is>
          <t>ETO-RD-AR 00700/2026</t>
        </is>
      </c>
      <c r="B22" t="inlineStr">
        <is>
          <t>abr</t>
        </is>
      </c>
      <c r="C22" t="inlineStr">
        <is>
          <t>Sem interrupção comprovada</t>
        </is>
      </c>
      <c r="D22" t="inlineStr">
        <is>
          <t>Sem interrupção</t>
        </is>
      </c>
      <c r="E22" t="inlineStr">
        <is>
          <t>EXPURGO</t>
        </is>
      </c>
      <c r="F22" t="inlineStr">
        <is>
          <t>QUEIMADO</t>
        </is>
      </c>
      <c r="G22" t="inlineStr">
        <is>
          <t>esteira 1.582</t>
        </is>
      </c>
      <c r="H22" t="inlineStr">
        <is>
          <t>AUSENTE DA CRÍTICA</t>
        </is>
      </c>
      <c r="I22" t="n">
        <v>5710170025</v>
      </c>
      <c r="J22" t="inlineStr">
        <is>
          <t>ENC-MPAR01  000026/2026</t>
        </is>
      </c>
      <c r="K22" t="n">
        <v>612600429</v>
      </c>
      <c r="L22" t="inlineStr">
        <is>
          <t>2026-04-17 14:38</t>
        </is>
      </c>
      <c r="M22" t="inlineStr">
        <is>
          <t>2026-04-18 15:56</t>
        </is>
      </c>
      <c r="N22" t="inlineStr">
        <is>
          <t>FORMS SUBST DE TRANSFORMADOR</t>
        </is>
      </c>
      <c r="O22" t="inlineStr">
        <is>
          <t>ETO-RD-AR</t>
        </is>
      </c>
      <c r="P22" t="inlineStr">
        <is>
          <t>ARAPOEMA</t>
        </is>
      </c>
      <c r="Q22" t="inlineStr">
        <is>
          <t>QUEIMADO</t>
        </is>
      </c>
      <c r="R22" t="inlineStr">
        <is>
          <t>VAZAMENTO DE ÓLEO</t>
        </is>
      </c>
      <c r="S22" t="inlineStr">
        <is>
          <t>1663552</t>
        </is>
      </c>
      <c r="T22" t="n">
        <v>828161</v>
      </c>
      <c r="U22" t="inlineStr">
        <is>
          <t>sim</t>
        </is>
      </c>
      <c r="Z22" t="inlineStr">
        <is>
          <t>SIM</t>
        </is>
      </c>
      <c r="AA22" t="inlineStr">
        <is>
          <t>leitura caso a caso</t>
        </is>
      </c>
      <c r="AB22" t="inlineStr">
        <is>
          <t>Fora do indicador: o ativo não existe na base de interrupção. Sem registro de interrupção não há evento a medir.</t>
        </is>
      </c>
      <c r="AC22" t="inlineStr">
        <is>
          <t>trafo 5710170025 queimado acesso bom para caminhonete 25kvaequipe 025op01</t>
        </is>
      </c>
      <c r="AD22" s="15"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is>
      </c>
    </row>
    <row r="23">
      <c r="A23" t="inlineStr">
        <is>
          <t>ETO-RD-AR 00658/2026</t>
        </is>
      </c>
      <c r="B23" t="inlineStr">
        <is>
          <t>abr</t>
        </is>
      </c>
      <c r="C23" t="inlineStr">
        <is>
          <t>Sem interrupção comprovada</t>
        </is>
      </c>
      <c r="D23" t="inlineStr">
        <is>
          <t>Sem interrupção</t>
        </is>
      </c>
      <c r="E23" t="inlineStr">
        <is>
          <t>EXPURGO</t>
        </is>
      </c>
      <c r="F23" t="inlineStr">
        <is>
          <t>QUEIMADO</t>
        </is>
      </c>
      <c r="G23" t="inlineStr">
        <is>
          <t>esteira 1.582</t>
        </is>
      </c>
      <c r="H23" t="inlineStr">
        <is>
          <t>AUSENTE DA CRÍTICA</t>
        </is>
      </c>
      <c r="I23" t="n">
        <v>5761134022</v>
      </c>
      <c r="J23" t="inlineStr">
        <is>
          <t>ENC-MLAR01  000177/2026</t>
        </is>
      </c>
      <c r="K23" t="n">
        <v>612600400</v>
      </c>
      <c r="L23" t="inlineStr">
        <is>
          <t>2026-04-10 10:56</t>
        </is>
      </c>
      <c r="M23" t="inlineStr">
        <is>
          <t>2026-04-10 14:49</t>
        </is>
      </c>
      <c r="N23" t="inlineStr">
        <is>
          <t>FORMS SUBST DE TRANSFORMADOR</t>
        </is>
      </c>
      <c r="O23" t="inlineStr">
        <is>
          <t>ETO-RD-AR</t>
        </is>
      </c>
      <c r="P23" t="inlineStr">
        <is>
          <t>BABACULANDIA</t>
        </is>
      </c>
      <c r="Q23" t="inlineStr">
        <is>
          <t>QUEIMADO</t>
        </is>
      </c>
      <c r="R23" t="inlineStr">
        <is>
          <t>NÃO IDENTIFICADO</t>
        </is>
      </c>
      <c r="S23" t="inlineStr">
        <is>
          <t>581755</t>
        </is>
      </c>
      <c r="T23" t="n">
        <v>1319660</v>
      </c>
      <c r="U23" t="inlineStr">
        <is>
          <t>sim</t>
        </is>
      </c>
      <c r="Z23" t="inlineStr">
        <is>
          <t>SIM</t>
        </is>
      </c>
      <c r="AA23" t="inlineStr">
        <is>
          <t>leitura caso a caso</t>
        </is>
      </c>
      <c r="AB23" t="inlineStr">
        <is>
          <t>Fora do indicador: o ativo não existe na base de interrupção. Sem registro de interrupção não há evento a medir.</t>
        </is>
      </c>
      <c r="AC23" t="inlineStr">
        <is>
          <t>trafo 5761134022 75kva 34.5kv queimado</t>
        </is>
      </c>
      <c r="AD23" s="15"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is>
      </c>
    </row>
    <row r="24">
      <c r="A24" t="inlineStr">
        <is>
          <t>ENC-RD-PS 00438/2026</t>
        </is>
      </c>
      <c r="B24" t="inlineStr">
        <is>
          <t>abr</t>
        </is>
      </c>
      <c r="C24" t="inlineStr">
        <is>
          <t>Sem interrupção comprovada</t>
        </is>
      </c>
      <c r="D24" t="inlineStr">
        <is>
          <t>Sem interrupção</t>
        </is>
      </c>
      <c r="E24" t="inlineStr">
        <is>
          <t>EXPURGO</t>
        </is>
      </c>
      <c r="F24" t="inlineStr">
        <is>
          <t>QUEIMADO</t>
        </is>
      </c>
      <c r="G24" t="inlineStr">
        <is>
          <t>esteira 1.582</t>
        </is>
      </c>
      <c r="H24" t="inlineStr">
        <is>
          <t>AUSENTE DA CRÍTICA</t>
        </is>
      </c>
      <c r="I24" t="n">
        <v>5701060070</v>
      </c>
      <c r="J24" t="inlineStr">
        <is>
          <t>ENC-LMPS04  000063/2026</t>
        </is>
      </c>
      <c r="K24" t="n">
        <v>212600400</v>
      </c>
      <c r="L24" t="inlineStr">
        <is>
          <t>2026-04-07 15:20</t>
        </is>
      </c>
      <c r="M24" t="inlineStr">
        <is>
          <t>2026-04-08 15:45</t>
        </is>
      </c>
      <c r="N24" t="inlineStr">
        <is>
          <t>FORMS SUBST DE TRANSFORMADOR</t>
        </is>
      </c>
      <c r="O24" t="inlineStr">
        <is>
          <t>ENC-RD-PS</t>
        </is>
      </c>
      <c r="P24" t="inlineStr">
        <is>
          <t>RIO SONO</t>
        </is>
      </c>
      <c r="Q24" t="inlineStr">
        <is>
          <t>QUEIMADO</t>
        </is>
      </c>
      <c r="R24" t="inlineStr">
        <is>
          <t>DESCARGA ATMOSFÉRICA</t>
        </is>
      </c>
      <c r="S24" t="inlineStr">
        <is>
          <t>482388</t>
        </is>
      </c>
      <c r="T24" t="n">
        <v>827361</v>
      </c>
      <c r="U24" t="inlineStr">
        <is>
          <t>sim</t>
        </is>
      </c>
      <c r="Z24" t="inlineStr">
        <is>
          <t>SIM</t>
        </is>
      </c>
      <c r="AA24" t="inlineStr">
        <is>
          <t>leitura caso a caso</t>
        </is>
      </c>
      <c r="AB24" t="inlineStr">
        <is>
          <t>Fora do indicador: o ativo não existe na base de interrupção. Sem registro de interrupção não há evento a medir.</t>
        </is>
      </c>
      <c r="AC24"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D24" s="15" t="inlineStr">
        <is>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is>
      </c>
    </row>
    <row r="25">
      <c r="A25" t="inlineStr">
        <is>
          <t>DOLP-RD-PA 00437/2026</t>
        </is>
      </c>
      <c r="B25" t="inlineStr">
        <is>
          <t>abr</t>
        </is>
      </c>
      <c r="C25" t="inlineStr">
        <is>
          <t>Sem interrupção comprovada</t>
        </is>
      </c>
      <c r="D25" t="inlineStr">
        <is>
          <t>Sem interrupção</t>
        </is>
      </c>
      <c r="E25" t="inlineStr">
        <is>
          <t>EXPURGO</t>
        </is>
      </c>
      <c r="F25" t="inlineStr">
        <is>
          <t>QUEIMADO</t>
        </is>
      </c>
      <c r="G25" t="inlineStr">
        <is>
          <t>esteira 1.582</t>
        </is>
      </c>
      <c r="H25" t="inlineStr">
        <is>
          <t>AUSENTE DA CRÍTICA</t>
        </is>
      </c>
      <c r="I25" t="n">
        <v>5704106122</v>
      </c>
      <c r="J25" t="inlineStr">
        <is>
          <t>DLP-CTPA00  000069/2026</t>
        </is>
      </c>
      <c r="K25" t="n">
        <v>112600401</v>
      </c>
      <c r="L25" t="inlineStr">
        <is>
          <t>2026-04-09 12:30</t>
        </is>
      </c>
      <c r="M25" t="inlineStr">
        <is>
          <t>2026-04-09 18:00</t>
        </is>
      </c>
      <c r="N25" t="inlineStr">
        <is>
          <t>FORMS SUBST DE TRANSFORMADOR</t>
        </is>
      </c>
      <c r="O25" t="inlineStr">
        <is>
          <t>DOLP-RD-PA</t>
        </is>
      </c>
      <c r="P25" t="inlineStr">
        <is>
          <t>PALMAS</t>
        </is>
      </c>
      <c r="Q25" t="inlineStr">
        <is>
          <t>QUEIMADO</t>
        </is>
      </c>
      <c r="R25" t="inlineStr">
        <is>
          <t>DESCARGA ATMOSFÉRICA</t>
        </is>
      </c>
      <c r="S25" t="inlineStr">
        <is>
          <t>0</t>
        </is>
      </c>
      <c r="T25" t="n">
        <v>0</v>
      </c>
      <c r="U25" t="inlineStr">
        <is>
          <t>não</t>
        </is>
      </c>
      <c r="Z25" t="inlineStr">
        <is>
          <t>SIM</t>
        </is>
      </c>
      <c r="AA25" t="inlineStr">
        <is>
          <t>leitura caso a caso</t>
        </is>
      </c>
      <c r="AB2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25" t="inlineStr">
        <is>
          <t>segue nota de trafo queimado, trafo 5704106122, trafo de 45kva, tensao 13800 / 380 V, para raio danificado, acesso livre</t>
        </is>
      </c>
      <c r="AD25" s="15"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26">
      <c r="A26" t="inlineStr">
        <is>
          <t>DG-RD-PO 00333/2026</t>
        </is>
      </c>
      <c r="B26" t="inlineStr">
        <is>
          <t>abr</t>
        </is>
      </c>
      <c r="C26" t="inlineStr">
        <is>
          <t>Sem interrupção comprovada</t>
        </is>
      </c>
      <c r="D26" t="inlineStr">
        <is>
          <t>Sem interrupção</t>
        </is>
      </c>
      <c r="E26" t="inlineStr">
        <is>
          <t>EXPURGO</t>
        </is>
      </c>
      <c r="F26" t="inlineStr">
        <is>
          <t>QUEIMADO</t>
        </is>
      </c>
      <c r="G26" t="inlineStr">
        <is>
          <t>esteira 1.582</t>
        </is>
      </c>
      <c r="H26" t="inlineStr">
        <is>
          <t>AUSENTE DA CRÍTICA</t>
        </is>
      </c>
      <c r="I26" t="n">
        <v>5700494044</v>
      </c>
      <c r="J26" t="inlineStr">
        <is>
          <t>DG-MLPO02  000062/2026</t>
        </is>
      </c>
      <c r="K26" t="n">
        <v>312600263</v>
      </c>
      <c r="L26" t="inlineStr">
        <is>
          <t>2026-04-14 17:47</t>
        </is>
      </c>
      <c r="M26" t="inlineStr">
        <is>
          <t>2026-04-15 11:50</t>
        </is>
      </c>
      <c r="N26" t="inlineStr">
        <is>
          <t>FORMS SUBST DE TRANSFORMADOR</t>
        </is>
      </c>
      <c r="O26" t="inlineStr">
        <is>
          <t>DG-RD-PO</t>
        </is>
      </c>
      <c r="P26" t="inlineStr">
        <is>
          <t>FATIMA</t>
        </is>
      </c>
      <c r="Q26" t="inlineStr">
        <is>
          <t>QUEIMADO</t>
        </is>
      </c>
      <c r="R26" t="inlineStr">
        <is>
          <t>BUCHA DANIFICADA</t>
        </is>
      </c>
      <c r="S26" t="inlineStr">
        <is>
          <t>186148</t>
        </is>
      </c>
      <c r="T26" t="n">
        <v>827744</v>
      </c>
      <c r="U26" t="inlineStr">
        <is>
          <t>sim</t>
        </is>
      </c>
      <c r="V26" t="inlineStr">
        <is>
          <t>MEIO AMBIENTE</t>
        </is>
      </c>
      <c r="W26" t="inlineStr">
        <is>
          <t>DESCARGA ATMOSFERICA</t>
        </is>
      </c>
      <c r="Z26" t="inlineStr">
        <is>
          <t>SIM</t>
        </is>
      </c>
      <c r="AA26" t="inlineStr">
        <is>
          <t>leitura caso a caso</t>
        </is>
      </c>
      <c r="AB2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26" t="inlineStr">
        <is>
          <t>ss para trocar trafo 5700494044 e para raio queimado POTENCIA: 15KVA 7.9KVACESSO CAMINHONETE, CARRO FICA A 30 METROS DO LOCAL</t>
        </is>
      </c>
      <c r="AD26" s="15" t="inlineStr">
        <is>
          <t xml:space="preserve">medido_ 
emergencial_ 
substituição de trafo queimado rdr fatima 
</t>
        </is>
      </c>
    </row>
    <row r="27">
      <c r="A27" t="inlineStr">
        <is>
          <t>ETO-RD-GU 00377/2026</t>
        </is>
      </c>
      <c r="B27" t="inlineStr">
        <is>
          <t>mar</t>
        </is>
      </c>
      <c r="C27" t="inlineStr">
        <is>
          <t>Sem interrupção comprovada</t>
        </is>
      </c>
      <c r="D27" t="inlineStr">
        <is>
          <t>Sem interrupção</t>
        </is>
      </c>
      <c r="E27" t="inlineStr">
        <is>
          <t>EXPURGO</t>
        </is>
      </c>
      <c r="F27" t="inlineStr">
        <is>
          <t>QUEIMADO</t>
        </is>
      </c>
      <c r="G27" t="inlineStr">
        <is>
          <t>esteira 1.582</t>
        </is>
      </c>
      <c r="H27" t="inlineStr">
        <is>
          <t>AUSENTE DA CRÍTICA</t>
        </is>
      </c>
      <c r="I27" t="n">
        <v>5731386073</v>
      </c>
      <c r="J27" t="inlineStr">
        <is>
          <t>ETO-RD-GU  000932/2026</t>
        </is>
      </c>
      <c r="K27" t="n">
        <v>412600315</v>
      </c>
      <c r="L27" t="inlineStr">
        <is>
          <t>2026-03-23 18:27</t>
        </is>
      </c>
      <c r="M27" t="inlineStr">
        <is>
          <t>2026-03-25 15:50</t>
        </is>
      </c>
      <c r="N27" t="inlineStr">
        <is>
          <t>FORMS SUBST DE TRANSFORMADOR</t>
        </is>
      </c>
      <c r="O27" t="inlineStr">
        <is>
          <t>ETO-RD-GU</t>
        </is>
      </c>
      <c r="P27" t="inlineStr">
        <is>
          <t>LAGOA DA CONFUSAO</t>
        </is>
      </c>
      <c r="Q27" t="inlineStr">
        <is>
          <t>QUEIMADO</t>
        </is>
      </c>
      <c r="R27" t="inlineStr">
        <is>
          <t>DESCARGA ATMOSFÉRICA</t>
        </is>
      </c>
      <c r="S27" t="inlineStr">
        <is>
          <t>368891</t>
        </is>
      </c>
      <c r="T27" t="n">
        <v>827891</v>
      </c>
      <c r="U27" t="inlineStr">
        <is>
          <t>sim</t>
        </is>
      </c>
      <c r="V27" t="inlineStr">
        <is>
          <t>TRANSFORMADOR</t>
        </is>
      </c>
      <c r="W27" t="inlineStr">
        <is>
          <t>QUEIMADO POR CAUSA NAO IDENTIFICADA</t>
        </is>
      </c>
      <c r="Z27" t="inlineStr">
        <is>
          <t>SIM</t>
        </is>
      </c>
      <c r="AA27" t="inlineStr">
        <is>
          <t>leitura caso a caso</t>
        </is>
      </c>
      <c r="AB2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27" t="inlineStr">
        <is>
          <t>TRAFO 5731386073 QUEIMADO EM CAMPO DE 15 KVA ACESSO APENAS DE BARCO REGIAO ALAGADAPARA RAIO QUEIMADO   .</t>
        </is>
      </c>
      <c r="AD27" s="15" t="inlineStr">
        <is>
          <t>SS: ETO-RD-GU 377-2026 
LOCALIDADE: LAGOA DA CONFUSÃO 
FOI FEITO A TROCA DE UM TRANSFORMADOR DE 15KVA POR 15KVA</t>
        </is>
      </c>
    </row>
    <row r="28">
      <c r="A28" t="inlineStr">
        <is>
          <t>ETO-RD-AR 00582/2026</t>
        </is>
      </c>
      <c r="B28" t="inlineStr">
        <is>
          <t>mar</t>
        </is>
      </c>
      <c r="C28" t="inlineStr">
        <is>
          <t>Sem interrupção comprovada</t>
        </is>
      </c>
      <c r="D28" t="inlineStr">
        <is>
          <t>Sem interrupção</t>
        </is>
      </c>
      <c r="E28" t="inlineStr">
        <is>
          <t>EXPURGO</t>
        </is>
      </c>
      <c r="F28" t="inlineStr">
        <is>
          <t>QUEIMADO</t>
        </is>
      </c>
      <c r="G28" t="inlineStr">
        <is>
          <t>esteira 1.582</t>
        </is>
      </c>
      <c r="H28" t="inlineStr">
        <is>
          <t>AUSENTE DA CRÍTICA</t>
        </is>
      </c>
      <c r="I28" t="n">
        <v>5710015080</v>
      </c>
      <c r="J28" t="inlineStr">
        <is>
          <t>ENC-MLAR03  000042/2026</t>
        </is>
      </c>
      <c r="K28" t="n">
        <v>612600374</v>
      </c>
      <c r="L28" t="inlineStr">
        <is>
          <t>2026-03-31 20:03</t>
        </is>
      </c>
      <c r="M28" t="inlineStr">
        <is>
          <t>2026-04-02 14:50</t>
        </is>
      </c>
      <c r="N28" t="inlineStr">
        <is>
          <t>FORMS SUBST DE TRANSFORMADOR</t>
        </is>
      </c>
      <c r="O28" t="inlineStr">
        <is>
          <t>ETO-RD-AR</t>
        </is>
      </c>
      <c r="P28" t="inlineStr">
        <is>
          <t>DARCINOPOLIS</t>
        </is>
      </c>
      <c r="Q28" t="inlineStr">
        <is>
          <t>QUEIMADO</t>
        </is>
      </c>
      <c r="R28" t="inlineStr">
        <is>
          <t>SOBRECARGA</t>
        </is>
      </c>
      <c r="S28" t="inlineStr">
        <is>
          <t>533216</t>
        </is>
      </c>
      <c r="T28" t="n">
        <v>828055</v>
      </c>
      <c r="U28" t="inlineStr">
        <is>
          <t>sim</t>
        </is>
      </c>
      <c r="Z28" t="inlineStr">
        <is>
          <t>SIM</t>
        </is>
      </c>
      <c r="AA28" t="inlineStr">
        <is>
          <t>leitura caso a caso</t>
        </is>
      </c>
      <c r="AB28" t="inlineStr">
        <is>
          <t>Fora do indicador: o ativo não existe na base de interrupção. Sem registro de interrupção não há evento a medir.</t>
        </is>
      </c>
      <c r="AC28" t="inlineStr">
        <is>
          <t>Trafo: 5710015080 QueimadoPotência: 15 KVARede: 34.5Pararaio: 34.5Acesso: só pra veículo traçadoSubstituir o mesmo pois está com a bucha primária quebrado por descarga atmosférica</t>
        </is>
      </c>
      <c r="AD28" s="15" t="inlineStr">
        <is>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is>
      </c>
    </row>
    <row r="29">
      <c r="A29" t="inlineStr">
        <is>
          <t>ETO-RD-AR 00557/2026</t>
        </is>
      </c>
      <c r="B29" t="inlineStr">
        <is>
          <t>mar</t>
        </is>
      </c>
      <c r="C29" t="inlineStr">
        <is>
          <t>Sem interrupção comprovada</t>
        </is>
      </c>
      <c r="D29" t="inlineStr">
        <is>
          <t>Sem interrupção</t>
        </is>
      </c>
      <c r="E29" t="inlineStr">
        <is>
          <t>EXPURGO</t>
        </is>
      </c>
      <c r="F29" t="inlineStr">
        <is>
          <t>QUEIMADO</t>
        </is>
      </c>
      <c r="G29" t="inlineStr">
        <is>
          <t>esteira 1.582</t>
        </is>
      </c>
      <c r="H29" t="inlineStr">
        <is>
          <t>AUSENTE DA CRÍTICA</t>
        </is>
      </c>
      <c r="I29" t="n">
        <v>5710138077</v>
      </c>
      <c r="J29" t="inlineStr">
        <is>
          <t>ENC-MLAR02  000072/2026</t>
        </is>
      </c>
      <c r="K29" t="n">
        <v>612600344</v>
      </c>
      <c r="L29" t="inlineStr">
        <is>
          <t>2026-03-26 08:51</t>
        </is>
      </c>
      <c r="M29" t="inlineStr">
        <is>
          <t>2026-03-27 18:00</t>
        </is>
      </c>
      <c r="N29" t="inlineStr">
        <is>
          <t>FORMS SUBST DE TRANSFORMADOR</t>
        </is>
      </c>
      <c r="O29" t="inlineStr">
        <is>
          <t>ETO-RD-AR</t>
        </is>
      </c>
      <c r="P29" t="inlineStr">
        <is>
          <t>GOIATINS</t>
        </is>
      </c>
      <c r="Q29" t="inlineStr">
        <is>
          <t>AVARIADO</t>
        </is>
      </c>
      <c r="R29" t="inlineStr">
        <is>
          <t>SOBRECARGA</t>
        </is>
      </c>
      <c r="S29" t="inlineStr">
        <is>
          <t>69463</t>
        </is>
      </c>
      <c r="U29" t="inlineStr">
        <is>
          <t>não</t>
        </is>
      </c>
      <c r="Z29" t="inlineStr">
        <is>
          <t>SIM</t>
        </is>
      </c>
      <c r="AA29" t="inlineStr">
        <is>
          <t>leitura caso a caso</t>
        </is>
      </c>
      <c r="AB29" t="inlineStr">
        <is>
          <t>Fora do indicador: o ativo não existe na base de interrupção. Sem registro de interrupção não há evento a medir.</t>
        </is>
      </c>
      <c r="AC29" t="inlineStr">
        <is>
          <t>TR-5710138077 o mesmo não esta entregando a tensão adequadapara queimadopotência 10kvatensão 13,8kvacesso livreequipe 265op0 tel-63992212789</t>
        </is>
      </c>
      <c r="AD29" s="15"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30">
      <c r="A30" t="inlineStr">
        <is>
          <t>ETO-RD-AR 00555/2026</t>
        </is>
      </c>
      <c r="B30" t="inlineStr">
        <is>
          <t>mar</t>
        </is>
      </c>
      <c r="C30" t="inlineStr">
        <is>
          <t>Sem interrupção comprovada</t>
        </is>
      </c>
      <c r="D30" t="inlineStr">
        <is>
          <t>Sem interrupção</t>
        </is>
      </c>
      <c r="E30" t="inlineStr">
        <is>
          <t>EXPURGO</t>
        </is>
      </c>
      <c r="F30" t="inlineStr">
        <is>
          <t>QUEIMADO</t>
        </is>
      </c>
      <c r="G30" t="inlineStr">
        <is>
          <t>esteira 1.582</t>
        </is>
      </c>
      <c r="H30" t="inlineStr">
        <is>
          <t>AUSENTE DA CRÍTICA</t>
        </is>
      </c>
      <c r="I30" t="n">
        <v>5702259004</v>
      </c>
      <c r="J30" t="inlineStr">
        <is>
          <t>ETO-RD-AR  000876/2026</t>
        </is>
      </c>
      <c r="K30" t="n">
        <v>612600355</v>
      </c>
      <c r="L30" t="inlineStr">
        <is>
          <t>2026-03-25 19:39</t>
        </is>
      </c>
      <c r="M30" t="inlineStr">
        <is>
          <t>2026-03-26 17:28</t>
        </is>
      </c>
      <c r="N30" t="inlineStr">
        <is>
          <t>FORMS SUBST DE TRANSFORMADOR</t>
        </is>
      </c>
      <c r="O30" t="inlineStr">
        <is>
          <t>ETO-RD-AR</t>
        </is>
      </c>
      <c r="P30" t="inlineStr">
        <is>
          <t>ARAGUAINA</t>
        </is>
      </c>
      <c r="Q30" t="inlineStr">
        <is>
          <t>QUEIMADO</t>
        </is>
      </c>
      <c r="R30" t="inlineStr">
        <is>
          <t>NÃO IDENTIFICADO</t>
        </is>
      </c>
      <c r="U30" t="inlineStr">
        <is>
          <t>não</t>
        </is>
      </c>
      <c r="Z30" t="inlineStr">
        <is>
          <t>SIM</t>
        </is>
      </c>
      <c r="AA30" t="inlineStr">
        <is>
          <t>leitura caso a caso</t>
        </is>
      </c>
      <c r="AB3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0" t="inlineStr">
        <is>
          <t>trafo queimado 5702259004 queimado 15 kv 19,9 kva para raio Bom acesso bom.fazenda Santa Tereza - UC 3165559-0 cliente: Persio de Freitas Vilela. RDR Arapoema</t>
        </is>
      </c>
      <c r="AD30" s="15" t="inlineStr">
        <is>
          <t>trafo queimado 5702259004 queimado 15 kv 19,9 kva para raio Bom acesso bom. 
fazenda Santa Tereza - UC 3165559-0 cliente: Persio de Freitas Vilela.  
RDR Arapoema</t>
        </is>
      </c>
    </row>
    <row r="31">
      <c r="A31" t="inlineStr">
        <is>
          <t>ETO-RD-AR 00504/2026</t>
        </is>
      </c>
      <c r="B31" t="inlineStr">
        <is>
          <t>mar</t>
        </is>
      </c>
      <c r="C31" t="inlineStr">
        <is>
          <t>Sem interrupção comprovada</t>
        </is>
      </c>
      <c r="D31" t="inlineStr">
        <is>
          <t>Sem interrupção</t>
        </is>
      </c>
      <c r="E31" t="inlineStr">
        <is>
          <t>EXPURGO</t>
        </is>
      </c>
      <c r="F31" t="inlineStr">
        <is>
          <t>QUEIMADO</t>
        </is>
      </c>
      <c r="G31" t="inlineStr">
        <is>
          <t>esteira 1.582</t>
        </is>
      </c>
      <c r="H31" t="inlineStr">
        <is>
          <t>AUSENTE DA CRÍTICA</t>
        </is>
      </c>
      <c r="I31" t="n">
        <v>5752570159</v>
      </c>
      <c r="J31" t="inlineStr">
        <is>
          <t>ENC-MLAR05  000157/2026</t>
        </is>
      </c>
      <c r="K31" t="n">
        <v>612600330</v>
      </c>
      <c r="L31" t="inlineStr">
        <is>
          <t>2026-03-17 20:04</t>
        </is>
      </c>
      <c r="M31" t="inlineStr">
        <is>
          <t>2026-03-18 21:24</t>
        </is>
      </c>
      <c r="N31" t="inlineStr">
        <is>
          <t>FORMS SUBST DE TRANSFORMADOR</t>
        </is>
      </c>
      <c r="O31" t="inlineStr">
        <is>
          <t>ETO-RD-AR</t>
        </is>
      </c>
      <c r="P31" t="inlineStr">
        <is>
          <t>MURICILANDIA</t>
        </is>
      </c>
      <c r="Q31" t="inlineStr">
        <is>
          <t>QUEIMADO</t>
        </is>
      </c>
      <c r="R31" t="inlineStr">
        <is>
          <t>DESCARGA ATMOSFÉRICA</t>
        </is>
      </c>
      <c r="S31" t="inlineStr">
        <is>
          <t>1298121</t>
        </is>
      </c>
      <c r="T31" t="n">
        <v>586769</v>
      </c>
      <c r="U31" t="inlineStr">
        <is>
          <t>sim</t>
        </is>
      </c>
      <c r="V31" t="inlineStr">
        <is>
          <t>CAUSA NAO IDENTIFICADA</t>
        </is>
      </c>
      <c r="W31" t="inlineStr">
        <is>
          <t>CAUSA NAO IDENTIFICADA - ESPECIFICAR</t>
        </is>
      </c>
      <c r="Z31" t="inlineStr">
        <is>
          <t>SIM</t>
        </is>
      </c>
      <c r="AA31" t="inlineStr">
        <is>
          <t>leitura caso a caso</t>
        </is>
      </c>
      <c r="AB3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1" t="inlineStr">
        <is>
          <t>5752570159 30kva 34.5kv e para raioacesso livre</t>
        </is>
      </c>
      <c r="AD31" s="15"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32">
      <c r="A32" t="inlineStr">
        <is>
          <t>ETO-RD-AR 00468/2026</t>
        </is>
      </c>
      <c r="B32" t="inlineStr">
        <is>
          <t>mar</t>
        </is>
      </c>
      <c r="C32" t="inlineStr">
        <is>
          <t>Sem interrupção comprovada</t>
        </is>
      </c>
      <c r="D32" t="inlineStr">
        <is>
          <t>Sem interrupção</t>
        </is>
      </c>
      <c r="E32" t="inlineStr">
        <is>
          <t>EXPURGO</t>
        </is>
      </c>
      <c r="F32" t="inlineStr">
        <is>
          <t>QUEIMADO</t>
        </is>
      </c>
      <c r="G32" t="inlineStr">
        <is>
          <t>esteira 1.582</t>
        </is>
      </c>
      <c r="H32" t="inlineStr">
        <is>
          <t>AUSENTE DA CRÍTICA</t>
        </is>
      </c>
      <c r="I32" t="n">
        <v>5301889004</v>
      </c>
      <c r="J32" t="inlineStr">
        <is>
          <t>ENC-MLAR01  000136/2026</t>
        </is>
      </c>
      <c r="K32" t="n">
        <v>612600312</v>
      </c>
      <c r="L32" t="inlineStr">
        <is>
          <t>2026-03-12 19:30</t>
        </is>
      </c>
      <c r="M32" t="inlineStr">
        <is>
          <t>2026-03-13 15:30</t>
        </is>
      </c>
      <c r="N32" t="inlineStr">
        <is>
          <t>FORMS SUBST DE TRANSFORMADOR</t>
        </is>
      </c>
      <c r="O32" t="inlineStr">
        <is>
          <t>ETO-RD-AR</t>
        </is>
      </c>
      <c r="P32" t="inlineStr">
        <is>
          <t>ARAGUAINA</t>
        </is>
      </c>
      <c r="Q32" t="inlineStr">
        <is>
          <t>QUEIMADO</t>
        </is>
      </c>
      <c r="R32" t="inlineStr">
        <is>
          <t>BUCHA DANIFICADA</t>
        </is>
      </c>
      <c r="S32" t="inlineStr">
        <is>
          <t>141362</t>
        </is>
      </c>
      <c r="T32" t="n">
        <v>826192</v>
      </c>
      <c r="U32" t="inlineStr">
        <is>
          <t>sim</t>
        </is>
      </c>
      <c r="Z32" t="inlineStr">
        <is>
          <t>não</t>
        </is>
      </c>
      <c r="AA32" t="inlineStr">
        <is>
          <t>leitura caso a caso</t>
        </is>
      </c>
      <c r="AB32"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AC32" t="inlineStr">
        <is>
          <t>Trafo 570188904 queimado 15kvaAcesso: Somente caminhonetePara-raio; Queimado Equipe: 004op26</t>
        </is>
      </c>
      <c r="AD32" s="15"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33">
      <c r="A33" t="inlineStr">
        <is>
          <t>ETO-RD-AR 00437/2026</t>
        </is>
      </c>
      <c r="B33" t="inlineStr">
        <is>
          <t>mar</t>
        </is>
      </c>
      <c r="C33" t="inlineStr">
        <is>
          <t>Sem interrupção comprovada</t>
        </is>
      </c>
      <c r="D33" t="inlineStr">
        <is>
          <t>Sem interrupção</t>
        </is>
      </c>
      <c r="E33" t="inlineStr">
        <is>
          <t>EXPURGO</t>
        </is>
      </c>
      <c r="F33" t="inlineStr">
        <is>
          <t>QUEIMADO</t>
        </is>
      </c>
      <c r="G33" t="inlineStr">
        <is>
          <t>esteira 1.582</t>
        </is>
      </c>
      <c r="H33" t="inlineStr">
        <is>
          <t>AUSENTE DA CRÍTICA</t>
        </is>
      </c>
      <c r="I33" t="n">
        <v>5701771022</v>
      </c>
      <c r="J33" t="inlineStr">
        <is>
          <t>ENC-MLAR03  000007/2026</t>
        </is>
      </c>
      <c r="K33" t="n">
        <v>612600271</v>
      </c>
      <c r="L33" t="inlineStr">
        <is>
          <t>2026-03-07 13:00</t>
        </is>
      </c>
      <c r="M33" t="inlineStr">
        <is>
          <t>2026-03-08 13:40</t>
        </is>
      </c>
      <c r="N33" t="inlineStr">
        <is>
          <t>FORMS SUBST DE TRANSFORMADOR</t>
        </is>
      </c>
      <c r="O33" t="inlineStr">
        <is>
          <t>ETO-RD-AR</t>
        </is>
      </c>
      <c r="P33" t="inlineStr">
        <is>
          <t>BABACULANDIA</t>
        </is>
      </c>
      <c r="Q33" t="inlineStr">
        <is>
          <t>QUEIMADO</t>
        </is>
      </c>
      <c r="R33" t="inlineStr">
        <is>
          <t>DESCARGA ATMOSFÉRICA</t>
        </is>
      </c>
      <c r="S33" t="inlineStr">
        <is>
          <t>1611007</t>
        </is>
      </c>
      <c r="T33" t="n">
        <v>827838</v>
      </c>
      <c r="U33" t="inlineStr">
        <is>
          <t>sim</t>
        </is>
      </c>
      <c r="Z33" t="inlineStr">
        <is>
          <t>SIM</t>
        </is>
      </c>
      <c r="AA33" t="inlineStr">
        <is>
          <t>leitura caso a caso</t>
        </is>
      </c>
      <c r="AB33" t="inlineStr">
        <is>
          <t>Fora do indicador: o ativo não existe na base de interrupção. Sem registro de interrupção não há evento a medir.</t>
        </is>
      </c>
      <c r="AC33" t="inlineStr">
        <is>
          <t>Trafo 5701771022 queimado 15kvaTensão: 34.5Acesso; somente para caminhonteEquipe: 004op27Endereço: Chacara Bela Vista</t>
        </is>
      </c>
      <c r="AD33" s="15" t="inlineStr">
        <is>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is>
      </c>
    </row>
    <row r="34">
      <c r="A34" t="inlineStr">
        <is>
          <t>DOLP-RD-PA 00003/2026</t>
        </is>
      </c>
      <c r="B34" t="inlineStr">
        <is>
          <t>jan</t>
        </is>
      </c>
      <c r="C34" t="inlineStr">
        <is>
          <t>Sem interrupção comprovada</t>
        </is>
      </c>
      <c r="D34" t="inlineStr">
        <is>
          <t>Sem interrupção</t>
        </is>
      </c>
      <c r="E34" t="inlineStr">
        <is>
          <t>EXPURGO</t>
        </is>
      </c>
      <c r="F34" t="inlineStr">
        <is>
          <t>QUEIMADO</t>
        </is>
      </c>
      <c r="G34" t="inlineStr">
        <is>
          <t>esteira 1.582</t>
        </is>
      </c>
      <c r="H34" t="inlineStr">
        <is>
          <t>AUSENTE DA CRÍTICA</t>
        </is>
      </c>
      <c r="I34" t="n">
        <v>5700121151</v>
      </c>
      <c r="J34" t="inlineStr">
        <is>
          <t>DLP-CTPA01  000001/2026</t>
        </is>
      </c>
      <c r="K34" t="n">
        <v>112600438</v>
      </c>
      <c r="L34" t="inlineStr">
        <is>
          <t>2026-01-02 15:28</t>
        </is>
      </c>
      <c r="M34" t="inlineStr">
        <is>
          <t>2026-01-03 17:32</t>
        </is>
      </c>
      <c r="N34" t="inlineStr">
        <is>
          <t>FORMS SUBST DE TRANSFORMADOR</t>
        </is>
      </c>
      <c r="O34" t="inlineStr">
        <is>
          <t>DOLP-RD-PA</t>
        </is>
      </c>
      <c r="P34" t="inlineStr">
        <is>
          <t>SANTA TEREZA DO TOCANTINS</t>
        </is>
      </c>
      <c r="Q34" t="inlineStr">
        <is>
          <t>QUEIMADO</t>
        </is>
      </c>
      <c r="R34" t="inlineStr">
        <is>
          <t>NÃO IDENTIFICADO</t>
        </is>
      </c>
      <c r="S34" t="inlineStr">
        <is>
          <t>185859</t>
        </is>
      </c>
      <c r="T34" t="n">
        <v>454942</v>
      </c>
      <c r="U34" t="inlineStr">
        <is>
          <t>sim</t>
        </is>
      </c>
      <c r="Z34" t="inlineStr">
        <is>
          <t>SIM</t>
        </is>
      </c>
      <c r="AA34" t="inlineStr">
        <is>
          <t>leitura caso a caso</t>
        </is>
      </c>
      <c r="AB34" t="inlineStr">
        <is>
          <t>Fora do indicador: o ativo não existe na base de interrupção. Sem registro de interrupção não há evento a medir.</t>
        </is>
      </c>
      <c r="AC34"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D34" s="15" t="inlineStr">
        <is>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is>
      </c>
    </row>
    <row r="35">
      <c r="A35" t="inlineStr">
        <is>
          <t>ETO-RD-AR 00434/2026</t>
        </is>
      </c>
      <c r="B35" t="inlineStr">
        <is>
          <t>mar</t>
        </is>
      </c>
      <c r="C35" t="inlineStr">
        <is>
          <t>Sem interrupção comprovada</t>
        </is>
      </c>
      <c r="D35" t="inlineStr">
        <is>
          <t>Sem interrupção</t>
        </is>
      </c>
      <c r="E35" t="inlineStr">
        <is>
          <t>EXPURGO</t>
        </is>
      </c>
      <c r="F35" t="inlineStr">
        <is>
          <t>QUEIMADO</t>
        </is>
      </c>
      <c r="G35" t="inlineStr">
        <is>
          <t>esteira 1.582</t>
        </is>
      </c>
      <c r="H35" t="inlineStr">
        <is>
          <t>AUSENTE DA CRÍTICA</t>
        </is>
      </c>
      <c r="I35" t="n">
        <v>5710028040</v>
      </c>
      <c r="J35" t="inlineStr">
        <is>
          <t>ENC-MLAR01  000130/2026</t>
        </is>
      </c>
      <c r="K35" t="n">
        <v>612600266</v>
      </c>
      <c r="L35" t="inlineStr">
        <is>
          <t>2026-03-06 22:17</t>
        </is>
      </c>
      <c r="M35" t="inlineStr">
        <is>
          <t>2026-03-07 16:30</t>
        </is>
      </c>
      <c r="N35" t="inlineStr">
        <is>
          <t>FORMS SUBST DE TRANSFORMADOR</t>
        </is>
      </c>
      <c r="O35" t="inlineStr">
        <is>
          <t>ETO-RD-AR</t>
        </is>
      </c>
      <c r="P35" t="inlineStr">
        <is>
          <t>ARAGOMINAS</t>
        </is>
      </c>
      <c r="Q35" t="inlineStr">
        <is>
          <t>QUEIMADO</t>
        </is>
      </c>
      <c r="R35" t="inlineStr">
        <is>
          <t>DESCARGA ATMOSFÉRICA</t>
        </is>
      </c>
      <c r="S35" t="inlineStr">
        <is>
          <t>388798</t>
        </is>
      </c>
      <c r="T35" t="n">
        <v>974078</v>
      </c>
      <c r="U35" t="inlineStr">
        <is>
          <t>sim</t>
        </is>
      </c>
      <c r="V35" t="inlineStr">
        <is>
          <t>MEIO AMBIENTE</t>
        </is>
      </c>
      <c r="W35" t="inlineStr">
        <is>
          <t>DESCARGA ATMOSFERICA</t>
        </is>
      </c>
      <c r="Z35" t="inlineStr">
        <is>
          <t>SIM</t>
        </is>
      </c>
      <c r="AA35" t="inlineStr">
        <is>
          <t>leitura caso a caso</t>
        </is>
      </c>
      <c r="AB3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5" t="inlineStr">
        <is>
          <t>Trafo 5710028040 Queimado Potencia:15 KVATensão: 13,8 KVPara raio: Queimado Acesso: CamionetaEquipe: 040op36 (63)992870450</t>
        </is>
      </c>
      <c r="AD35" s="15" t="inlineStr">
        <is>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is>
      </c>
    </row>
    <row r="36">
      <c r="A36" t="inlineStr">
        <is>
          <t>ENC-RD-PS 00024/2026</t>
        </is>
      </c>
      <c r="B36" t="inlineStr">
        <is>
          <t>jan</t>
        </is>
      </c>
      <c r="C36" t="inlineStr">
        <is>
          <t>Sem interrupção comprovada</t>
        </is>
      </c>
      <c r="D36" t="inlineStr">
        <is>
          <t>Sem interrupção</t>
        </is>
      </c>
      <c r="E36" t="inlineStr">
        <is>
          <t>EXPURGO</t>
        </is>
      </c>
      <c r="F36" t="inlineStr">
        <is>
          <t>QUEIMADO</t>
        </is>
      </c>
      <c r="G36" t="inlineStr">
        <is>
          <t>esteira 1.582</t>
        </is>
      </c>
      <c r="H36" t="inlineStr">
        <is>
          <t>AUSENTE DA CRÍTICA</t>
        </is>
      </c>
      <c r="I36" t="n">
        <v>5700559233</v>
      </c>
      <c r="J36" t="inlineStr">
        <is>
          <t>ENC-LMPS01  000011/2026</t>
        </is>
      </c>
      <c r="K36" t="n">
        <v>212600049</v>
      </c>
      <c r="L36" t="inlineStr">
        <is>
          <t>2026-01-06 18:36</t>
        </is>
      </c>
      <c r="M36" t="inlineStr">
        <is>
          <t>2026-01-07 18:56</t>
        </is>
      </c>
      <c r="N36" t="inlineStr">
        <is>
          <t>FORMS SUBST DE TRANSFORMADOR</t>
        </is>
      </c>
      <c r="O36" t="inlineStr">
        <is>
          <t>ENC-RD-PS</t>
        </is>
      </c>
      <c r="P36" t="inlineStr">
        <is>
          <t>ABREULANDIA</t>
        </is>
      </c>
      <c r="Q36" t="inlineStr">
        <is>
          <t>QUEIMADO</t>
        </is>
      </c>
      <c r="R36" t="inlineStr">
        <is>
          <t>DESCARGA ATMOSFÉRICA</t>
        </is>
      </c>
      <c r="S36" t="inlineStr">
        <is>
          <t>525292</t>
        </is>
      </c>
      <c r="U36" t="inlineStr">
        <is>
          <t>não</t>
        </is>
      </c>
      <c r="Z36" t="inlineStr">
        <is>
          <t>SIM</t>
        </is>
      </c>
      <c r="AA36" t="inlineStr">
        <is>
          <t>leitura caso a caso</t>
        </is>
      </c>
      <c r="AB36" t="inlineStr">
        <is>
          <t>Fora do indicador: o ativo não existe na base de interrupção. Sem registro de interrupção não há evento a medir.</t>
        </is>
      </c>
      <c r="AC36" t="inlineStr">
        <is>
          <t>segue SS ´para tratativa com equipe de manutençao subtituir trafo 5700559233 na rdr de abreulandia</t>
        </is>
      </c>
      <c r="AD36" s="15" t="inlineStr">
        <is>
          <t xml:space="preserve"> 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is>
      </c>
    </row>
    <row r="37">
      <c r="A37" t="inlineStr">
        <is>
          <t>ENC-RD-PS 00044/2026</t>
        </is>
      </c>
      <c r="B37" t="inlineStr">
        <is>
          <t>jan</t>
        </is>
      </c>
      <c r="C37" t="inlineStr">
        <is>
          <t>Sem interrupção comprovada</t>
        </is>
      </c>
      <c r="D37" t="inlineStr">
        <is>
          <t>Sem interrupção</t>
        </is>
      </c>
      <c r="E37" t="inlineStr">
        <is>
          <t>EXPURGO</t>
        </is>
      </c>
      <c r="F37" t="inlineStr">
        <is>
          <t>QUEIMADO</t>
        </is>
      </c>
      <c r="G37" t="inlineStr">
        <is>
          <t>esteira 1.582</t>
        </is>
      </c>
      <c r="H37" t="inlineStr">
        <is>
          <t>AUSENTE DA CRÍTICA</t>
        </is>
      </c>
      <c r="I37" t="n">
        <v>5710028046</v>
      </c>
      <c r="J37" t="inlineStr">
        <is>
          <t>ENC-LMPS04  000011/2026</t>
        </is>
      </c>
      <c r="K37" t="n">
        <v>212600073</v>
      </c>
      <c r="L37" t="inlineStr">
        <is>
          <t>2026-01-11 10:38</t>
        </is>
      </c>
      <c r="M37" t="inlineStr">
        <is>
          <t>2026-01-12 16:02</t>
        </is>
      </c>
      <c r="N37" t="inlineStr">
        <is>
          <t>FORMS SUBST DE TRANSFORMADOR</t>
        </is>
      </c>
      <c r="O37" t="inlineStr">
        <is>
          <t>ENC-RD-PS</t>
        </is>
      </c>
      <c r="P37" t="inlineStr">
        <is>
          <t>NOVA ROSALANDIA</t>
        </is>
      </c>
      <c r="Q37" t="inlineStr">
        <is>
          <t>QUEIMADO</t>
        </is>
      </c>
      <c r="R37" t="inlineStr">
        <is>
          <t>DESCARGA ATMOSFÉRICA</t>
        </is>
      </c>
      <c r="S37" t="inlineStr">
        <is>
          <t>69095</t>
        </is>
      </c>
      <c r="U37" t="inlineStr">
        <is>
          <t>não</t>
        </is>
      </c>
      <c r="Z37" t="inlineStr">
        <is>
          <t>SIM</t>
        </is>
      </c>
      <c r="AA37" t="inlineStr">
        <is>
          <t>leitura caso a caso</t>
        </is>
      </c>
      <c r="AB37" t="inlineStr">
        <is>
          <t>Fora do indicador: o ativo não existe na base de interrupção. Sem registro de interrupção não há evento a medir.</t>
        </is>
      </c>
      <c r="AC37" t="inlineStr">
        <is>
          <t>TR 571002804610KVA13800PARA RAIO DANIFICADO ACESSO PARA CAMINHONETE (1)UC PENALIZADA EM CAMPO 046OP01 VILSON</t>
        </is>
      </c>
      <c r="AD37" s="15" t="inlineStr">
        <is>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is>
      </c>
    </row>
    <row r="38">
      <c r="A38" t="inlineStr">
        <is>
          <t>ENC-RD-PS 00054/2026</t>
        </is>
      </c>
      <c r="B38" t="inlineStr">
        <is>
          <t>jan</t>
        </is>
      </c>
      <c r="C38" t="inlineStr">
        <is>
          <t>Sem interrupção comprovada</t>
        </is>
      </c>
      <c r="D38" t="inlineStr">
        <is>
          <t>Sem interrupção</t>
        </is>
      </c>
      <c r="E38" t="inlineStr">
        <is>
          <t>EXPURGO</t>
        </is>
      </c>
      <c r="F38" t="inlineStr">
        <is>
          <t>QUEIMADO</t>
        </is>
      </c>
      <c r="G38" t="inlineStr">
        <is>
          <t>esteira 1.582</t>
        </is>
      </c>
      <c r="H38" t="inlineStr">
        <is>
          <t>AUSENTE DA CRÍTICA</t>
        </is>
      </c>
      <c r="I38" t="n">
        <v>5701203084</v>
      </c>
      <c r="J38" t="inlineStr">
        <is>
          <t>ENC-LMPS04  000013/2026</t>
        </is>
      </c>
      <c r="K38" t="n">
        <v>212600080</v>
      </c>
      <c r="L38" t="inlineStr">
        <is>
          <t>2026-01-12 13:21</t>
        </is>
      </c>
      <c r="M38" t="inlineStr">
        <is>
          <t>2026-01-14 16:40</t>
        </is>
      </c>
      <c r="N38" t="inlineStr">
        <is>
          <t>FORMS SUBST DE TRANSFORMADOR</t>
        </is>
      </c>
      <c r="O38" t="inlineStr">
        <is>
          <t>ENC-RD-PS</t>
        </is>
      </c>
      <c r="P38" t="inlineStr">
        <is>
          <t>DIVINOPOLIS DO TOCANTINS</t>
        </is>
      </c>
      <c r="Q38" t="inlineStr">
        <is>
          <t>QUEIMADO</t>
        </is>
      </c>
      <c r="R38" t="inlineStr">
        <is>
          <t>DESCARGA ATMOSFÉRICA</t>
        </is>
      </c>
      <c r="S38" t="inlineStr">
        <is>
          <t>451481</t>
        </is>
      </c>
      <c r="T38" t="n">
        <v>290390</v>
      </c>
      <c r="U38" t="inlineStr">
        <is>
          <t>sim</t>
        </is>
      </c>
      <c r="Z38" t="inlineStr">
        <is>
          <t>SIM</t>
        </is>
      </c>
      <c r="AA38" t="inlineStr">
        <is>
          <t>leitura caso a caso</t>
        </is>
      </c>
      <c r="AB3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8" t="inlineStr">
        <is>
          <t>Segue ss para tratativa com equipe de manutençao o quanto antes susbtituir trafo 5701203084 queimado na rdr de divinopoles</t>
        </is>
      </c>
      <c r="AD38" s="15" t="inlineStr">
        <is>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is>
      </c>
    </row>
    <row r="39">
      <c r="A39" t="inlineStr">
        <is>
          <t>ENC-RD-PS 00057/2026</t>
        </is>
      </c>
      <c r="B39" t="inlineStr">
        <is>
          <t>jan</t>
        </is>
      </c>
      <c r="C39" t="inlineStr">
        <is>
          <t>Sem interrupção comprovada</t>
        </is>
      </c>
      <c r="D39" t="inlineStr">
        <is>
          <t>Sem interrupção</t>
        </is>
      </c>
      <c r="E39" t="inlineStr">
        <is>
          <t>EXPURGO</t>
        </is>
      </c>
      <c r="F39" t="inlineStr">
        <is>
          <t>QUEIMADO</t>
        </is>
      </c>
      <c r="G39" t="inlineStr">
        <is>
          <t>esteira 1.582</t>
        </is>
      </c>
      <c r="H39" t="inlineStr">
        <is>
          <t>AUSENTE DA CRÍTICA</t>
        </is>
      </c>
      <c r="I39" t="n">
        <v>5710441149</v>
      </c>
      <c r="J39" t="inlineStr">
        <is>
          <t>ENC-LMPS04  000012/2026</t>
        </is>
      </c>
      <c r="K39" t="n">
        <v>212600077</v>
      </c>
      <c r="L39" t="inlineStr">
        <is>
          <t>2026-01-12 17:10</t>
        </is>
      </c>
      <c r="M39" t="inlineStr">
        <is>
          <t>2026-01-13 20:09</t>
        </is>
      </c>
      <c r="N39" t="inlineStr">
        <is>
          <t>FORMS SUBST DE TRANSFORMADOR</t>
        </is>
      </c>
      <c r="O39" t="inlineStr">
        <is>
          <t>ENC-RD-PS</t>
        </is>
      </c>
      <c r="P39" t="inlineStr">
        <is>
          <t>CASEARA</t>
        </is>
      </c>
      <c r="Q39" t="inlineStr">
        <is>
          <t>QUEIMADO</t>
        </is>
      </c>
      <c r="R39" t="inlineStr">
        <is>
          <t>DESCARGA ATMOSFÉRICA</t>
        </is>
      </c>
      <c r="S39" t="inlineStr">
        <is>
          <t>1568543</t>
        </is>
      </c>
      <c r="T39" t="n">
        <v>586759</v>
      </c>
      <c r="U39" t="inlineStr">
        <is>
          <t>sim</t>
        </is>
      </c>
      <c r="Z39" t="inlineStr">
        <is>
          <t>SIM</t>
        </is>
      </c>
      <c r="AA39" t="inlineStr">
        <is>
          <t>leitura caso a caso</t>
        </is>
      </c>
      <c r="AB39" t="inlineStr">
        <is>
          <t>Fora do indicador: o ativo não existe na base de interrupção. Sem registro de interrupção não há evento a medir.</t>
        </is>
      </c>
      <c r="AC39" t="inlineStr">
        <is>
          <t>TR 571044114930KVAT 34500PARA RAIO DANIFICADO ACESSO PARA CAMINHAO (1) PENALIZADA WELVIS SUP. DIVINOPOLIS</t>
        </is>
      </c>
      <c r="AD39" s="15" t="inlineStr">
        <is>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is>
      </c>
    </row>
    <row r="40">
      <c r="A40" t="inlineStr">
        <is>
          <t>ETO-RD-AR 00001/2026</t>
        </is>
      </c>
      <c r="B40" t="inlineStr">
        <is>
          <t>jan</t>
        </is>
      </c>
      <c r="C40" t="inlineStr">
        <is>
          <t>Sem interrupção comprovada</t>
        </is>
      </c>
      <c r="D40" t="inlineStr">
        <is>
          <t>Sem interrupção</t>
        </is>
      </c>
      <c r="E40" t="inlineStr">
        <is>
          <t>EXPURGO</t>
        </is>
      </c>
      <c r="F40" t="inlineStr">
        <is>
          <t>QUEIMADO</t>
        </is>
      </c>
      <c r="G40" t="inlineStr">
        <is>
          <t>esteira 1.582</t>
        </is>
      </c>
      <c r="H40" t="inlineStr">
        <is>
          <t>AUSENTE DA CRÍTICA</t>
        </is>
      </c>
      <c r="I40" t="n">
        <v>5703016016</v>
      </c>
      <c r="J40" t="inlineStr">
        <is>
          <t>ENC-MLAR01  000013/2026</t>
        </is>
      </c>
      <c r="K40" t="n">
        <v>612600021</v>
      </c>
      <c r="L40" t="inlineStr">
        <is>
          <t>2026-01-02 10:17</t>
        </is>
      </c>
      <c r="M40" t="inlineStr">
        <is>
          <t>2026-01-02 18:00</t>
        </is>
      </c>
      <c r="N40" t="inlineStr">
        <is>
          <t>FORMS SUBST DE TRANSFORMADOR</t>
        </is>
      </c>
      <c r="O40" t="inlineStr">
        <is>
          <t>ETO-RD-AR</t>
        </is>
      </c>
      <c r="P40" t="inlineStr">
        <is>
          <t>WANDERLANDIA</t>
        </is>
      </c>
      <c r="Q40" t="inlineStr">
        <is>
          <t>QUEIMADO</t>
        </is>
      </c>
      <c r="R40" t="inlineStr">
        <is>
          <t>SOBRECARGA</t>
        </is>
      </c>
      <c r="S40" t="inlineStr">
        <is>
          <t>180489</t>
        </is>
      </c>
      <c r="T40" t="n">
        <v>435142</v>
      </c>
      <c r="U40" t="inlineStr">
        <is>
          <t>sim</t>
        </is>
      </c>
      <c r="Z40" t="inlineStr">
        <is>
          <t>SIM</t>
        </is>
      </c>
      <c r="AA40" t="inlineStr">
        <is>
          <t>leitura caso a caso</t>
        </is>
      </c>
      <c r="AB40" t="inlineStr">
        <is>
          <t>Fora do indicador: o ativo não existe na base de interrupção. Sem registro de interrupção não há evento a medir.</t>
        </is>
      </c>
      <c r="AC40" t="inlineStr">
        <is>
          <t>SUBSTITUIR o Trafo 5703016016Lançar vão de rede de 100 metros , cabo AA / 4Instalar chave trafo ELO 0,5HAcesso livrePotencia de 15 kVA</t>
        </is>
      </c>
      <c r="AD40" s="15" t="inlineStr">
        <is>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is>
      </c>
    </row>
    <row r="41">
      <c r="A41" t="inlineStr">
        <is>
          <t>ETO-RD-AG 00249/2026</t>
        </is>
      </c>
      <c r="B41" t="inlineStr">
        <is>
          <t>mar</t>
        </is>
      </c>
      <c r="C41" t="inlineStr">
        <is>
          <t>Sem interrupção comprovada</t>
        </is>
      </c>
      <c r="D41" t="inlineStr">
        <is>
          <t>Sem interrupção</t>
        </is>
      </c>
      <c r="E41" t="inlineStr">
        <is>
          <t>EXPURGO</t>
        </is>
      </c>
      <c r="F41" t="inlineStr">
        <is>
          <t>QUEIMADO</t>
        </is>
      </c>
      <c r="G41" t="inlineStr">
        <is>
          <t>esteira 1.582</t>
        </is>
      </c>
      <c r="H41" t="inlineStr">
        <is>
          <t>AUSENTE DA CRÍTICA</t>
        </is>
      </c>
      <c r="I41" t="n">
        <v>5700696045</v>
      </c>
      <c r="J41" t="inlineStr">
        <is>
          <t>ENC-MLAG01  000060/2026</t>
        </is>
      </c>
      <c r="K41" t="n">
        <v>662600154</v>
      </c>
      <c r="L41" t="inlineStr">
        <is>
          <t>2026-03-03 12:18</t>
        </is>
      </c>
      <c r="M41" t="inlineStr">
        <is>
          <t>2026-03-04 18:23</t>
        </is>
      </c>
      <c r="N41" t="inlineStr">
        <is>
          <t>FORMS SUBST DE TRANSFORMADOR</t>
        </is>
      </c>
      <c r="O41" t="inlineStr">
        <is>
          <t>ETO-RD-AG</t>
        </is>
      </c>
      <c r="P41" t="inlineStr">
        <is>
          <t>AUGUSTINOPOLIS</t>
        </is>
      </c>
      <c r="Q41" t="inlineStr">
        <is>
          <t>QUEIMADO</t>
        </is>
      </c>
      <c r="R41" t="inlineStr">
        <is>
          <t>DESCARGA ATMOSFÉRICA</t>
        </is>
      </c>
      <c r="S41" t="inlineStr">
        <is>
          <t>566197014</t>
        </is>
      </c>
      <c r="T41" t="n">
        <v>183077</v>
      </c>
      <c r="U41" t="inlineStr">
        <is>
          <t>sim</t>
        </is>
      </c>
      <c r="V41" t="inlineStr">
        <is>
          <t>MEIO AMBIENTE</t>
        </is>
      </c>
      <c r="W41" t="inlineStr">
        <is>
          <t>DESCARGA ATMOSFERICA</t>
        </is>
      </c>
      <c r="Z41" t="inlineStr">
        <is>
          <t>SIM</t>
        </is>
      </c>
      <c r="AA41" t="inlineStr">
        <is>
          <t>leitura caso a caso</t>
        </is>
      </c>
      <c r="AB4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41" t="inlineStr">
        <is>
          <t>TROCA DE TRAFO 5700696045 QUEIMADO DE 30KVA DA 34.5 PARA RAIOS QUEIMADO. ACESSO BOMTROCAR JOGO DE CHAVESUBSTITUIR OS GLV'SLEVAR ROLDANA DA BT.</t>
        </is>
      </c>
      <c r="AD41" s="15"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t>
        </is>
      </c>
    </row>
    <row r="42">
      <c r="A42" t="inlineStr">
        <is>
          <t>ETO-RD-AR 00081/2026</t>
        </is>
      </c>
      <c r="B42" t="inlineStr">
        <is>
          <t>jan</t>
        </is>
      </c>
      <c r="C42" t="inlineStr">
        <is>
          <t>Sem interrupção comprovada</t>
        </is>
      </c>
      <c r="D42" t="inlineStr">
        <is>
          <t>Sem interrupção</t>
        </is>
      </c>
      <c r="E42" t="inlineStr">
        <is>
          <t>EXPURGO</t>
        </is>
      </c>
      <c r="F42" t="inlineStr">
        <is>
          <t>QUEIMADO</t>
        </is>
      </c>
      <c r="G42" t="inlineStr">
        <is>
          <t>esteira 1.582</t>
        </is>
      </c>
      <c r="H42" t="inlineStr">
        <is>
          <t>AUSENTE DA CRÍTICA</t>
        </is>
      </c>
      <c r="I42" t="n">
        <v>5704370057</v>
      </c>
      <c r="J42" t="inlineStr">
        <is>
          <t>ENC-MLAR05  000026/2026</t>
        </is>
      </c>
      <c r="K42" t="n">
        <v>612600070</v>
      </c>
      <c r="L42" t="inlineStr">
        <is>
          <t>2026-01-16 08:57</t>
        </is>
      </c>
      <c r="M42" t="inlineStr">
        <is>
          <t>2026-01-16 23:00</t>
        </is>
      </c>
      <c r="N42" t="inlineStr">
        <is>
          <t>FORMS SUBST DE TRANSFORMADOR</t>
        </is>
      </c>
      <c r="O42" t="inlineStr">
        <is>
          <t>ETO-RD-AR</t>
        </is>
      </c>
      <c r="P42" t="inlineStr">
        <is>
          <t>ARAGUAINA</t>
        </is>
      </c>
      <c r="Q42" t="inlineStr">
        <is>
          <t>QUEIMADO</t>
        </is>
      </c>
      <c r="R42" t="inlineStr">
        <is>
          <t>DESCARGA ATMOSFÉRICA</t>
        </is>
      </c>
      <c r="S42" t="inlineStr">
        <is>
          <t>371054</t>
        </is>
      </c>
      <c r="T42" t="n">
        <v>820201</v>
      </c>
      <c r="U42" t="inlineStr">
        <is>
          <t>sim</t>
        </is>
      </c>
      <c r="Z42" t="inlineStr">
        <is>
          <t>SIM</t>
        </is>
      </c>
      <c r="AA42" t="inlineStr">
        <is>
          <t>leitura caso a caso</t>
        </is>
      </c>
      <c r="AB42" t="inlineStr">
        <is>
          <t>Fora do indicador: o ativo não existe na base de interrupção. Sem registro de interrupção não há evento a medir.</t>
        </is>
      </c>
      <c r="AC42" t="inlineStr">
        <is>
          <t>Trafo 5704370057 15 kva queimadoTensão: 19.9Acesso: Livre Endereço: IND FAZENDA NOVO HORIZONTE, 0 - NOVO HORIZONTE 500M DA  PISTA</t>
        </is>
      </c>
      <c r="AD42" s="15" t="inlineStr">
        <is>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is>
      </c>
    </row>
    <row r="43">
      <c r="A43" t="inlineStr">
        <is>
          <t>ETO-RD-AR 00118/2026</t>
        </is>
      </c>
      <c r="B43" t="inlineStr">
        <is>
          <t>jan</t>
        </is>
      </c>
      <c r="C43" t="inlineStr">
        <is>
          <t>Sem interrupção comprovada</t>
        </is>
      </c>
      <c r="D43" t="inlineStr">
        <is>
          <t>Sem interrupção</t>
        </is>
      </c>
      <c r="E43" t="inlineStr">
        <is>
          <t>EXPURGO</t>
        </is>
      </c>
      <c r="F43" t="inlineStr">
        <is>
          <t>QUEIMADO</t>
        </is>
      </c>
      <c r="G43" t="inlineStr">
        <is>
          <t>esteira 1.582</t>
        </is>
      </c>
      <c r="H43" t="inlineStr">
        <is>
          <t>AUSENTE DA CRÍTICA</t>
        </is>
      </c>
      <c r="I43" t="n">
        <v>5700746004</v>
      </c>
      <c r="J43" t="inlineStr">
        <is>
          <t>ENC-MLAR01  000054/2026</t>
        </is>
      </c>
      <c r="K43" t="n">
        <v>612600086</v>
      </c>
      <c r="L43" t="inlineStr">
        <is>
          <t>2026-01-19 21:44</t>
        </is>
      </c>
      <c r="M43" t="inlineStr">
        <is>
          <t>2026-01-20 20:50</t>
        </is>
      </c>
      <c r="N43" t="inlineStr">
        <is>
          <t>FORMS SUBST DE TRANSFORMADOR</t>
        </is>
      </c>
      <c r="O43" t="inlineStr">
        <is>
          <t>ETO-RD-AR</t>
        </is>
      </c>
      <c r="P43" t="inlineStr">
        <is>
          <t>ARAGUAINA</t>
        </is>
      </c>
      <c r="Q43" t="inlineStr">
        <is>
          <t>QUEIMADO</t>
        </is>
      </c>
      <c r="R43" t="inlineStr">
        <is>
          <t>DESCARGA ATMOSFÉRICA</t>
        </is>
      </c>
      <c r="S43" t="inlineStr">
        <is>
          <t>1294</t>
        </is>
      </c>
      <c r="T43" t="n">
        <v>820197</v>
      </c>
      <c r="U43" t="inlineStr">
        <is>
          <t>sim</t>
        </is>
      </c>
      <c r="Z43" t="inlineStr">
        <is>
          <t>SIM</t>
        </is>
      </c>
      <c r="AA43" t="inlineStr">
        <is>
          <t>leitura caso a caso</t>
        </is>
      </c>
      <c r="AB43" t="inlineStr">
        <is>
          <t>Fora do indicador: o ativo não existe na base de interrupção. Sem registro de interrupção não há evento a medir.</t>
        </is>
      </c>
      <c r="AC43" t="inlineStr">
        <is>
          <t>Trafo 5700746004 queimado 15kvaTensão: 19.9Acesso somente para caminhoneteEquipe: 004op08</t>
        </is>
      </c>
      <c r="AD43" s="15" t="inlineStr">
        <is>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is>
      </c>
    </row>
    <row r="44">
      <c r="A44" t="inlineStr">
        <is>
          <t>ETO-RD-GR 00052/2026</t>
        </is>
      </c>
      <c r="B44" t="inlineStr">
        <is>
          <t>jan</t>
        </is>
      </c>
      <c r="C44" t="inlineStr">
        <is>
          <t>Sem interrupção comprovada</t>
        </is>
      </c>
      <c r="D44" t="inlineStr">
        <is>
          <t>Sem interrupção</t>
        </is>
      </c>
      <c r="E44" t="inlineStr">
        <is>
          <t>EXPURGO</t>
        </is>
      </c>
      <c r="F44" t="inlineStr">
        <is>
          <t>QUEIMADO</t>
        </is>
      </c>
      <c r="G44" t="inlineStr">
        <is>
          <t>esteira 1.582</t>
        </is>
      </c>
      <c r="H44" t="inlineStr">
        <is>
          <t>AUSENTE DA CRÍTICA</t>
        </is>
      </c>
      <c r="I44" t="n">
        <v>5741943048</v>
      </c>
      <c r="J44" t="inlineStr">
        <is>
          <t>ENC-MLGR03  000015/2026</t>
        </is>
      </c>
      <c r="K44" t="n">
        <v>712600047</v>
      </c>
      <c r="L44" t="inlineStr">
        <is>
          <t>2026-01-09 18:59</t>
        </is>
      </c>
      <c r="M44" t="inlineStr">
        <is>
          <t>2026-01-10 22:28</t>
        </is>
      </c>
      <c r="N44" t="inlineStr">
        <is>
          <t>FORMS SUBST DE TRANSFORMADOR</t>
        </is>
      </c>
      <c r="O44" t="inlineStr">
        <is>
          <t>ETO-RD-GR</t>
        </is>
      </c>
      <c r="P44" t="inlineStr">
        <is>
          <t>FORTALEZA DO TABOCAO</t>
        </is>
      </c>
      <c r="Q44" t="inlineStr">
        <is>
          <t>QUEIMADO</t>
        </is>
      </c>
      <c r="R44" t="inlineStr">
        <is>
          <t>DESCARGA ATMOSFÉRICA</t>
        </is>
      </c>
      <c r="S44" t="inlineStr">
        <is>
          <t>1510147</t>
        </is>
      </c>
      <c r="T44" t="n">
        <v>489685</v>
      </c>
      <c r="U44" t="inlineStr">
        <is>
          <t>sim</t>
        </is>
      </c>
      <c r="Z44" t="inlineStr">
        <is>
          <t>SIM</t>
        </is>
      </c>
      <c r="AA44" t="inlineStr">
        <is>
          <t>leitura caso a caso</t>
        </is>
      </c>
      <c r="AB44" t="inlineStr">
        <is>
          <t>Fora do indicador: o ativo não existe na base de interrupção. Sem registro de interrupção não há evento a medir.</t>
        </is>
      </c>
      <c r="AC44" t="inlineStr">
        <is>
          <t>trafo queimado 5710088048, porem em campo esta o trafo 5741943048112.5 kVAacesso livre pararaio queimadoequipe 009op01- 63999201531</t>
        </is>
      </c>
      <c r="AD44" s="15"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t>
        </is>
      </c>
    </row>
    <row r="45">
      <c r="A45" t="inlineStr">
        <is>
          <t>ETO-RD-GR 00095/2026</t>
        </is>
      </c>
      <c r="B45" t="inlineStr">
        <is>
          <t>jan</t>
        </is>
      </c>
      <c r="C45" t="inlineStr">
        <is>
          <t>Sem interrupção comprovada</t>
        </is>
      </c>
      <c r="D45" t="inlineStr">
        <is>
          <t>Sem interrupção</t>
        </is>
      </c>
      <c r="E45" t="inlineStr">
        <is>
          <t>EXPURGO</t>
        </is>
      </c>
      <c r="F45" t="inlineStr">
        <is>
          <t>QUEIMADO</t>
        </is>
      </c>
      <c r="G45" t="inlineStr">
        <is>
          <t>esteira 1.582</t>
        </is>
      </c>
      <c r="H45" t="inlineStr">
        <is>
          <t>AUSENTE DA CRÍTICA</t>
        </is>
      </c>
      <c r="I45" t="n">
        <v>5700396048</v>
      </c>
      <c r="J45" t="inlineStr">
        <is>
          <t>ENC-MLGR03  000031/2026</t>
        </is>
      </c>
      <c r="K45" t="n">
        <v>712600063</v>
      </c>
      <c r="L45" t="inlineStr">
        <is>
          <t>2026-01-16 16:33</t>
        </is>
      </c>
      <c r="M45" t="inlineStr">
        <is>
          <t>2026-01-17 02:02</t>
        </is>
      </c>
      <c r="N45" t="inlineStr">
        <is>
          <t>FORMS SUBST DE TRANSFORMADOR</t>
        </is>
      </c>
      <c r="O45" t="inlineStr">
        <is>
          <t>ETO-RD-GR</t>
        </is>
      </c>
      <c r="P45" t="inlineStr">
        <is>
          <t>FORTALEZA DO TABOCAO</t>
        </is>
      </c>
      <c r="Q45" t="inlineStr">
        <is>
          <t>QUEIMADO</t>
        </is>
      </c>
      <c r="R45" t="inlineStr">
        <is>
          <t>DESCARGA ATMOSFÉRICA</t>
        </is>
      </c>
      <c r="S45" t="inlineStr">
        <is>
          <t>573184</t>
        </is>
      </c>
      <c r="T45" t="n">
        <v>820202</v>
      </c>
      <c r="U45" t="inlineStr">
        <is>
          <t>sim</t>
        </is>
      </c>
      <c r="Z45" t="inlineStr">
        <is>
          <t>SIM</t>
        </is>
      </c>
      <c r="AA45" t="inlineStr">
        <is>
          <t>leitura caso a caso</t>
        </is>
      </c>
      <c r="AB45" t="inlineStr">
        <is>
          <t>Fora do indicador: o código não aparece na Crítica em papel nenhum — nem com defeito, nem interrompido, nem manobrado — nos sete meses do acervo; nem o teste do vizinho achou explicação.</t>
        </is>
      </c>
      <c r="AC45" t="inlineStr">
        <is>
          <t>Trafo: 5700396048 Avariado Potencia: 15 KVATensão: 34,5kPara raio: queimado Acesso: Camioneta   Equipe: 009op02 (63)99983-3829Obs. trafo esta com tensão baixa em uma das buchas.</t>
        </is>
      </c>
      <c r="AD45" s="15" t="inlineStr">
        <is>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is>
      </c>
    </row>
    <row r="46">
      <c r="A46" t="inlineStr">
        <is>
          <t>ETO-RD-GR 00140/2026</t>
        </is>
      </c>
      <c r="B46" t="inlineStr">
        <is>
          <t>jan</t>
        </is>
      </c>
      <c r="C46" t="inlineStr">
        <is>
          <t>Sem interrupção comprovada</t>
        </is>
      </c>
      <c r="D46" t="inlineStr">
        <is>
          <t>Sem interrupção</t>
        </is>
      </c>
      <c r="E46" t="inlineStr">
        <is>
          <t>EXPURGO</t>
        </is>
      </c>
      <c r="F46" t="inlineStr">
        <is>
          <t>QUEIMADO</t>
        </is>
      </c>
      <c r="G46" t="inlineStr">
        <is>
          <t>esteira 1.582</t>
        </is>
      </c>
      <c r="H46" t="inlineStr">
        <is>
          <t>AUSENTE DA CRÍTICA</t>
        </is>
      </c>
      <c r="I46" t="n">
        <v>5700922009</v>
      </c>
      <c r="J46" t="inlineStr">
        <is>
          <t>ETO-RD-GR  000231/2026</t>
        </is>
      </c>
      <c r="K46" t="n">
        <v>712600101</v>
      </c>
      <c r="L46" t="inlineStr">
        <is>
          <t>2026-01-28 20:04</t>
        </is>
      </c>
      <c r="M46" t="inlineStr">
        <is>
          <t>2026-01-31 08:29</t>
        </is>
      </c>
      <c r="N46" t="inlineStr">
        <is>
          <t>FORMS SUBST DE TRANSFORMADOR</t>
        </is>
      </c>
      <c r="O46" t="inlineStr">
        <is>
          <t>ETO-RD-GR</t>
        </is>
      </c>
      <c r="P46" t="inlineStr">
        <is>
          <t>GUARAI</t>
        </is>
      </c>
      <c r="Q46" t="inlineStr">
        <is>
          <t>QUEIMADO</t>
        </is>
      </c>
      <c r="R46" t="inlineStr">
        <is>
          <t>DESCARGA ATMOSFÉRICA</t>
        </is>
      </c>
      <c r="U46" t="inlineStr">
        <is>
          <t>não</t>
        </is>
      </c>
      <c r="Z46" t="inlineStr">
        <is>
          <t>SIM</t>
        </is>
      </c>
      <c r="AA46" t="inlineStr">
        <is>
          <t>leitura caso a caso</t>
        </is>
      </c>
      <c r="AB46" t="inlineStr">
        <is>
          <t>Fora do indicador: o ativo não existe na base de interrupção. Sem registro de interrupção não há evento a medir.</t>
        </is>
      </c>
      <c r="AC46" t="inlineStr">
        <is>
          <t>TR-5700922009 Queimadopara raios queiamado potência 10kvatensão 34,5kvacesso livreequipe 009op01 tel-63984566867</t>
        </is>
      </c>
      <c r="AD46" s="15" t="inlineStr">
        <is>
          <t>TR-5700922009 Queimado 
para raios queiamado  
potência 10kva 
tensão 34,5kv 
acesso livre 
equipe 009op01 tel-63984566867</t>
        </is>
      </c>
    </row>
    <row r="47">
      <c r="A47" t="inlineStr">
        <is>
          <t>ETO-RD-GU 00066/2026</t>
        </is>
      </c>
      <c r="B47" t="inlineStr">
        <is>
          <t>jan</t>
        </is>
      </c>
      <c r="C47" t="inlineStr">
        <is>
          <t>Sem interrupção comprovada</t>
        </is>
      </c>
      <c r="D47" t="inlineStr">
        <is>
          <t>Sem interrupção</t>
        </is>
      </c>
      <c r="E47" t="inlineStr">
        <is>
          <t>EXPURGO</t>
        </is>
      </c>
      <c r="F47" t="inlineStr">
        <is>
          <t>QUEIMADO</t>
        </is>
      </c>
      <c r="G47" t="inlineStr">
        <is>
          <t>esteira 1.582</t>
        </is>
      </c>
      <c r="H47" t="inlineStr">
        <is>
          <t>AUSENTE DA CRÍTICA</t>
        </is>
      </c>
      <c r="I47" t="n">
        <v>5710535094</v>
      </c>
      <c r="J47" t="inlineStr">
        <is>
          <t>DBM-MLDB05  000013/2026</t>
        </is>
      </c>
      <c r="K47" t="n">
        <v>412600114</v>
      </c>
      <c r="L47" t="inlineStr">
        <is>
          <t>2026-01-13 20:52</t>
        </is>
      </c>
      <c r="M47" t="inlineStr">
        <is>
          <t>2026-01-15 16:00</t>
        </is>
      </c>
      <c r="N47" t="inlineStr">
        <is>
          <t>FORMS SUBST DE TRANSFORMADOR</t>
        </is>
      </c>
      <c r="O47" t="inlineStr">
        <is>
          <t>ETO-RD-GU</t>
        </is>
      </c>
      <c r="P47" t="inlineStr">
        <is>
          <t>PEIXE</t>
        </is>
      </c>
      <c r="Q47" t="inlineStr">
        <is>
          <t>QUEIMADO</t>
        </is>
      </c>
      <c r="R47" t="inlineStr">
        <is>
          <t>DESCARGA ATMOSFÉRICA</t>
        </is>
      </c>
      <c r="S47" t="inlineStr">
        <is>
          <t>225341</t>
        </is>
      </c>
      <c r="U47" t="inlineStr">
        <is>
          <t>não</t>
        </is>
      </c>
      <c r="Z47" t="inlineStr">
        <is>
          <t>SIM</t>
        </is>
      </c>
      <c r="AA47" t="inlineStr">
        <is>
          <t>leitura caso a caso</t>
        </is>
      </c>
      <c r="AB4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47" t="inlineStr">
        <is>
          <t>transformador e para raio queimado</t>
        </is>
      </c>
      <c r="AD47" s="15" t="inlineStr">
        <is>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is>
      </c>
    </row>
    <row r="48">
      <c r="A48" t="inlineStr">
        <is>
          <t>ETO-RD-GU 00073/2026</t>
        </is>
      </c>
      <c r="B48" t="inlineStr">
        <is>
          <t>jan</t>
        </is>
      </c>
      <c r="C48" t="inlineStr">
        <is>
          <t>Sem interrupção comprovada</t>
        </is>
      </c>
      <c r="D48" t="inlineStr">
        <is>
          <t>Sem interrupção</t>
        </is>
      </c>
      <c r="E48" t="inlineStr">
        <is>
          <t>EXPURGO</t>
        </is>
      </c>
      <c r="F48" t="inlineStr">
        <is>
          <t>QUEIMADO</t>
        </is>
      </c>
      <c r="G48" t="inlineStr">
        <is>
          <t>esteira 1.582</t>
        </is>
      </c>
      <c r="H48" t="inlineStr">
        <is>
          <t>AUSENTE DA CRÍTICA</t>
        </is>
      </c>
      <c r="I48" t="n">
        <v>5701108076</v>
      </c>
      <c r="J48" t="inlineStr">
        <is>
          <t>DBM-MLDB03  000008/2026</t>
        </is>
      </c>
      <c r="K48" t="n">
        <v>412600116</v>
      </c>
      <c r="L48" t="inlineStr">
        <is>
          <t>2026-01-14 16:27</t>
        </is>
      </c>
      <c r="M48" t="inlineStr">
        <is>
          <t>2026-01-16 12:01</t>
        </is>
      </c>
      <c r="N48" t="inlineStr">
        <is>
          <t>FORMS SUBST DE TRANSFORMADOR</t>
        </is>
      </c>
      <c r="O48" t="inlineStr">
        <is>
          <t>ETO-RD-GU</t>
        </is>
      </c>
      <c r="P48" t="inlineStr">
        <is>
          <t>CARIRI DO TOCANTINS</t>
        </is>
      </c>
      <c r="Q48" t="inlineStr">
        <is>
          <t>QUEIMADO</t>
        </is>
      </c>
      <c r="R48" t="inlineStr">
        <is>
          <t>DESCARGA ATMOSFÉRICA</t>
        </is>
      </c>
      <c r="S48" t="inlineStr">
        <is>
          <t>20674</t>
        </is>
      </c>
      <c r="U48" t="inlineStr">
        <is>
          <t>não</t>
        </is>
      </c>
      <c r="Z48" t="inlineStr">
        <is>
          <t>não</t>
        </is>
      </c>
      <c r="AA48" t="inlineStr">
        <is>
          <t>leitura caso a caso</t>
        </is>
      </c>
      <c r="AB48" t="inlineStr">
        <is>
          <t>Fora do indicador: o ativo não existe na base de interrupção. Sem registro de interrupção não há evento a medir.</t>
        </is>
      </c>
      <c r="AC48" t="inlineStr">
        <is>
          <t>transformador e para  raio queimado</t>
        </is>
      </c>
      <c r="AD48" s="15" t="inlineStr">
        <is>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is>
      </c>
    </row>
    <row r="49">
      <c r="A49" t="inlineStr">
        <is>
          <t>DG-RD-PO 00179/2026</t>
        </is>
      </c>
      <c r="B49" t="inlineStr">
        <is>
          <t>fev</t>
        </is>
      </c>
      <c r="C49" t="inlineStr">
        <is>
          <t>Sem interrupção comprovada</t>
        </is>
      </c>
      <c r="D49" t="inlineStr">
        <is>
          <t>Sem interrupção</t>
        </is>
      </c>
      <c r="E49" t="inlineStr">
        <is>
          <t>EXPURGO</t>
        </is>
      </c>
      <c r="F49" t="inlineStr">
        <is>
          <t>QUEIMADO</t>
        </is>
      </c>
      <c r="G49" t="inlineStr">
        <is>
          <t>esteira 1.582</t>
        </is>
      </c>
      <c r="H49" t="inlineStr">
        <is>
          <t>AUSENTE DA CRÍTICA</t>
        </is>
      </c>
      <c r="I49" t="n">
        <v>5710046096</v>
      </c>
      <c r="J49" t="inlineStr">
        <is>
          <t>DG-MLPO01  000039/2026</t>
        </is>
      </c>
      <c r="K49" t="n">
        <v>312500671</v>
      </c>
      <c r="L49" t="inlineStr">
        <is>
          <t>2026-02-12 10:28</t>
        </is>
      </c>
      <c r="M49" t="inlineStr">
        <is>
          <t>2026-02-12 10:44</t>
        </is>
      </c>
      <c r="N49" t="inlineStr">
        <is>
          <t>FORMS SUBST DE TRANSFORMADOR</t>
        </is>
      </c>
      <c r="O49" t="inlineStr">
        <is>
          <t>DG-RD-PO</t>
        </is>
      </c>
      <c r="P49" t="inlineStr">
        <is>
          <t>PINDORAMA DO TOCANTINS</t>
        </is>
      </c>
      <c r="Q49" t="inlineStr">
        <is>
          <t>QUEIMADO</t>
        </is>
      </c>
      <c r="R49" t="inlineStr">
        <is>
          <t>DESCARGA ATMOSFÉRICA</t>
        </is>
      </c>
      <c r="S49" t="inlineStr">
        <is>
          <t>1463815</t>
        </is>
      </c>
      <c r="T49" t="n">
        <v>1219870</v>
      </c>
      <c r="U49" t="inlineStr">
        <is>
          <t>sim</t>
        </is>
      </c>
      <c r="Z49" t="inlineStr">
        <is>
          <t>SIM</t>
        </is>
      </c>
      <c r="AA49" t="inlineStr">
        <is>
          <t>leitura caso a caso</t>
        </is>
      </c>
      <c r="AB49" t="inlineStr">
        <is>
          <t>Fora do indicador: o ativo não existe na base de interrupção. Sem registro de interrupção não há evento a medir.</t>
        </is>
      </c>
      <c r="AC49" t="inlineStr">
        <is>
          <t>SEGUE SS PARA SUBSTITUIR TRAFO QEUIMADO NA RDR DE PINDORAMAOBS: NOTA CRIADA PARA SUBST. A SS 800/2025 QUE FOI ABERTA NO TRAFO ERRADO</t>
        </is>
      </c>
      <c r="AD49" s="15" t="inlineStr">
        <is>
          <t xml:space="preserve">medido_ 
emergencial_ 
substituição de trafo queimado rdr pindorama 
obs: OS CRIADA PARA SUBSTITUIR MLPO0190/2025 OBRA 0312500671 TRAFO ERRADO </t>
        </is>
      </c>
    </row>
    <row r="50">
      <c r="A50" t="inlineStr">
        <is>
          <t>DG-RD-PO 00180/2026</t>
        </is>
      </c>
      <c r="B50" t="inlineStr">
        <is>
          <t>fev</t>
        </is>
      </c>
      <c r="C50" t="inlineStr">
        <is>
          <t>Sem interrupção comprovada</t>
        </is>
      </c>
      <c r="D50" t="inlineStr">
        <is>
          <t>Sem interrupção</t>
        </is>
      </c>
      <c r="E50" t="inlineStr">
        <is>
          <t>EXPURGO</t>
        </is>
      </c>
      <c r="F50" t="inlineStr">
        <is>
          <t>QUEIMADO</t>
        </is>
      </c>
      <c r="G50" t="inlineStr">
        <is>
          <t>esteira 1.582</t>
        </is>
      </c>
      <c r="H50" t="inlineStr">
        <is>
          <t>AUSENTE DA CRÍTICA</t>
        </is>
      </c>
      <c r="I50" t="n">
        <v>5710046096</v>
      </c>
      <c r="J50" t="inlineStr">
        <is>
          <t>DG-MPDG01  000049/2026</t>
        </is>
      </c>
      <c r="K50" t="n">
        <v>312500675</v>
      </c>
      <c r="L50" t="inlineStr">
        <is>
          <t>2026-02-12 10:44</t>
        </is>
      </c>
      <c r="M50" t="inlineStr">
        <is>
          <t>2026-02-12 11:05</t>
        </is>
      </c>
      <c r="N50" t="inlineStr">
        <is>
          <t>FORMS SUBST DE TRANSFORMADOR</t>
        </is>
      </c>
      <c r="O50" t="inlineStr">
        <is>
          <t>DG-RD-PO</t>
        </is>
      </c>
      <c r="P50" t="inlineStr">
        <is>
          <t>PINDORAMA DO TOCANTINS</t>
        </is>
      </c>
      <c r="Q50" t="inlineStr">
        <is>
          <t>GARANTIA DE TRAFO</t>
        </is>
      </c>
      <c r="R50" t="inlineStr">
        <is>
          <t>DESCARGA ATMOSFÉRICA</t>
        </is>
      </c>
      <c r="S50" t="inlineStr">
        <is>
          <t>1219870</t>
        </is>
      </c>
      <c r="T50" t="n">
        <v>586782</v>
      </c>
      <c r="U50" t="inlineStr">
        <is>
          <t>sim</t>
        </is>
      </c>
      <c r="Z50" t="inlineStr">
        <is>
          <t>não</t>
        </is>
      </c>
      <c r="AA50" t="inlineStr">
        <is>
          <t>leitura caso a caso</t>
        </is>
      </c>
      <c r="AB50" t="inlineStr">
        <is>
          <t>Fora do indicador: o ativo não existe na base de interrupção. Sem registro de interrupção não há evento a medir.</t>
        </is>
      </c>
      <c r="AC50" t="inlineStr">
        <is>
          <t>SEGUE SS PARA SUBSTITUIR TRAFO QUEIMADO OBS: NOTA CRIADA PARA SUBST. SS 814/2025 ABERTA NO TRAFO ERRADO</t>
        </is>
      </c>
      <c r="AD50" s="15" t="inlineStr">
        <is>
          <t xml:space="preserve">medido_ 
emergencial_ 
substituição de trafo queimado rdr pindorama 
obs: OS SUBSITUINDO OS MPDG01 210-2025 OBRA 0312500675 TRAFO ERRADO </t>
        </is>
      </c>
    </row>
    <row r="51">
      <c r="A51" t="inlineStr">
        <is>
          <t>ENC-RD-PS 00361/2026</t>
        </is>
      </c>
      <c r="B51" t="inlineStr">
        <is>
          <t>mar</t>
        </is>
      </c>
      <c r="C51" t="inlineStr">
        <is>
          <t>Sem interrupção comprovada</t>
        </is>
      </c>
      <c r="D51" t="inlineStr">
        <is>
          <t>Sem interrupção</t>
        </is>
      </c>
      <c r="E51" t="inlineStr">
        <is>
          <t>EXPURGO</t>
        </is>
      </c>
      <c r="F51" t="inlineStr">
        <is>
          <t>QUEIMADO</t>
        </is>
      </c>
      <c r="G51" t="inlineStr">
        <is>
          <t>esteira 1.582</t>
        </is>
      </c>
      <c r="H51" t="inlineStr">
        <is>
          <t>AUSENTE DA CRÍTICA</t>
        </is>
      </c>
      <c r="I51" t="n">
        <v>5701007008</v>
      </c>
      <c r="J51" t="inlineStr">
        <is>
          <t>ENC-LMPS03  000066/2026</t>
        </is>
      </c>
      <c r="K51" t="n">
        <v>212600341</v>
      </c>
      <c r="L51" t="inlineStr">
        <is>
          <t>2026-03-19 10:47</t>
        </is>
      </c>
      <c r="M51" t="inlineStr">
        <is>
          <t>2026-03-19 17:44</t>
        </is>
      </c>
      <c r="N51" t="inlineStr">
        <is>
          <t>FORMS SUBST DE TRANSFORMADOR</t>
        </is>
      </c>
      <c r="O51" t="inlineStr">
        <is>
          <t>ENC-RD-PS</t>
        </is>
      </c>
      <c r="P51" t="inlineStr">
        <is>
          <t>MIRANORTE</t>
        </is>
      </c>
      <c r="Q51" t="inlineStr">
        <is>
          <t>QUEIMADO</t>
        </is>
      </c>
      <c r="R51" t="inlineStr">
        <is>
          <t>DESCARGA ATMOSFÉRICA</t>
        </is>
      </c>
      <c r="S51" t="inlineStr">
        <is>
          <t>388932</t>
        </is>
      </c>
      <c r="T51" t="n">
        <v>827738</v>
      </c>
      <c r="U51" t="inlineStr">
        <is>
          <t>sim</t>
        </is>
      </c>
      <c r="Z51" t="inlineStr">
        <is>
          <t>SIM</t>
        </is>
      </c>
      <c r="AA51" t="inlineStr">
        <is>
          <t>leitura caso a caso</t>
        </is>
      </c>
      <c r="AB51" t="inlineStr">
        <is>
          <t>Fora do indicador: o ativo não existe na base de interrupção. Sem registro de interrupção não há evento a medir.</t>
        </is>
      </c>
      <c r="AC51"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D51" s="15" t="inlineStr">
        <is>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is>
      </c>
    </row>
    <row r="52">
      <c r="A52" t="inlineStr">
        <is>
          <t>ENC-RD-PS 00177/2026</t>
        </is>
      </c>
      <c r="B52" t="inlineStr">
        <is>
          <t>fev</t>
        </is>
      </c>
      <c r="C52" t="inlineStr">
        <is>
          <t>Sem interrupção comprovada</t>
        </is>
      </c>
      <c r="D52" t="inlineStr">
        <is>
          <t>Sem interrupção</t>
        </is>
      </c>
      <c r="E52" t="inlineStr">
        <is>
          <t>EXPURGO</t>
        </is>
      </c>
      <c r="F52" t="inlineStr">
        <is>
          <t>QUEIMADO</t>
        </is>
      </c>
      <c r="G52" t="inlineStr">
        <is>
          <t>esteira 1.582</t>
        </is>
      </c>
      <c r="H52" t="inlineStr">
        <is>
          <t>AUSENTE DA CRÍTICA</t>
        </is>
      </c>
      <c r="I52" t="n">
        <v>5701299084</v>
      </c>
      <c r="J52" t="inlineStr">
        <is>
          <t>ENC-LMPS04  000027/2026</t>
        </is>
      </c>
      <c r="K52" t="n">
        <v>212600157</v>
      </c>
      <c r="L52" t="inlineStr">
        <is>
          <t>2026-02-02 14:50</t>
        </is>
      </c>
      <c r="M52" t="inlineStr">
        <is>
          <t>2026-02-03 19:00</t>
        </is>
      </c>
      <c r="N52" t="inlineStr">
        <is>
          <t>FORMS SUBST DE TRANSFORMADOR</t>
        </is>
      </c>
      <c r="O52" t="inlineStr">
        <is>
          <t>ENC-RD-PS</t>
        </is>
      </c>
      <c r="P52" t="inlineStr">
        <is>
          <t>DIVINOPOLIS DO TOCANTINS</t>
        </is>
      </c>
      <c r="Q52" t="inlineStr">
        <is>
          <t>QUEIMADO</t>
        </is>
      </c>
      <c r="R52" t="inlineStr">
        <is>
          <t>DESCARGA ATMOSFÉRICA</t>
        </is>
      </c>
      <c r="S52" t="inlineStr">
        <is>
          <t>111028</t>
        </is>
      </c>
      <c r="T52" t="n">
        <v>811235</v>
      </c>
      <c r="U52" t="inlineStr">
        <is>
          <t>sim</t>
        </is>
      </c>
      <c r="V52" t="inlineStr">
        <is>
          <t>PARA-RAIOS</t>
        </is>
      </c>
      <c r="W52" t="inlineStr">
        <is>
          <t>PARA-RAIOS CURTO-CIRCUITADO</t>
        </is>
      </c>
      <c r="Z52" t="inlineStr">
        <is>
          <t>SIM</t>
        </is>
      </c>
      <c r="AA52" t="inlineStr">
        <is>
          <t>leitura caso a caso</t>
        </is>
      </c>
      <c r="AB5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2" t="inlineStr">
        <is>
          <t>Segue ss para tratativa com equipe de manutençao o quanto antessubstituir trafo 5701299084</t>
        </is>
      </c>
      <c r="AD52" s="15" t="inlineStr">
        <is>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is>
      </c>
    </row>
    <row r="53">
      <c r="A53" t="inlineStr">
        <is>
          <t>ENC-RD-PS 00246/2026</t>
        </is>
      </c>
      <c r="B53" t="inlineStr">
        <is>
          <t>fev</t>
        </is>
      </c>
      <c r="C53" t="inlineStr">
        <is>
          <t>Sem interrupção comprovada</t>
        </is>
      </c>
      <c r="D53" t="inlineStr">
        <is>
          <t>Sem interrupção</t>
        </is>
      </c>
      <c r="E53" t="inlineStr">
        <is>
          <t>EXPURGO</t>
        </is>
      </c>
      <c r="F53" t="inlineStr">
        <is>
          <t>QUEIMADO</t>
        </is>
      </c>
      <c r="G53" t="inlineStr">
        <is>
          <t>esteira 1.582</t>
        </is>
      </c>
      <c r="H53" t="inlineStr">
        <is>
          <t>AUSENTE DA CRÍTICA</t>
        </is>
      </c>
      <c r="I53" t="n">
        <v>5720337055</v>
      </c>
      <c r="J53" t="inlineStr">
        <is>
          <t>ENC-LMPS04  000039/2026</t>
        </is>
      </c>
      <c r="K53" t="n">
        <v>212600217</v>
      </c>
      <c r="L53" t="inlineStr">
        <is>
          <t>2026-02-17 15:45</t>
        </is>
      </c>
      <c r="M53" t="inlineStr">
        <is>
          <t>2026-02-18 16:00</t>
        </is>
      </c>
      <c r="N53" t="inlineStr">
        <is>
          <t>FORMS SUBST DE TRANSFORMADOR</t>
        </is>
      </c>
      <c r="O53" t="inlineStr">
        <is>
          <t>ENC-RD-PS</t>
        </is>
      </c>
      <c r="P53" t="inlineStr">
        <is>
          <t>ARAGUACEMA</t>
        </is>
      </c>
      <c r="Q53" t="inlineStr">
        <is>
          <t>QUEIMADO</t>
        </is>
      </c>
      <c r="R53" t="inlineStr">
        <is>
          <t>DESCARGA ATMOSFÉRICA</t>
        </is>
      </c>
      <c r="S53" t="inlineStr">
        <is>
          <t>367926</t>
        </is>
      </c>
      <c r="T53" t="n">
        <v>572129</v>
      </c>
      <c r="U53" t="inlineStr">
        <is>
          <t>sim</t>
        </is>
      </c>
      <c r="V53" t="inlineStr">
        <is>
          <t>MEIO AMBIENTE</t>
        </is>
      </c>
      <c r="W53" t="inlineStr">
        <is>
          <t>DESCARGA ATMOSFERICA</t>
        </is>
      </c>
      <c r="X53" t="inlineStr">
        <is>
          <t>TRANSFORMADOR</t>
        </is>
      </c>
      <c r="Y53" t="inlineStr">
        <is>
          <t>QUEIMADO POR DESCARGA ATMOSFERICA</t>
        </is>
      </c>
      <c r="Z53" t="inlineStr">
        <is>
          <t>SIM</t>
        </is>
      </c>
      <c r="AA53" t="inlineStr">
        <is>
          <t>leitura caso a caso</t>
        </is>
      </c>
      <c r="AB53"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AC53" t="inlineStr">
        <is>
          <t>TR 572033705515KVAPARA RAIO DANIFIFCADO 34500CAMINHONETE EQUIPE 055OP01</t>
        </is>
      </c>
      <c r="AD53" s="15" t="inlineStr">
        <is>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is>
      </c>
    </row>
    <row r="54">
      <c r="A54" t="inlineStr">
        <is>
          <t>ENC-RD-PS 00259/2026</t>
        </is>
      </c>
      <c r="B54" t="inlineStr">
        <is>
          <t>fev</t>
        </is>
      </c>
      <c r="C54" t="inlineStr">
        <is>
          <t>Sem interrupção comprovada</t>
        </is>
      </c>
      <c r="D54" t="inlineStr">
        <is>
          <t>Sem interrupção</t>
        </is>
      </c>
      <c r="E54" t="inlineStr">
        <is>
          <t>EXPURGO</t>
        </is>
      </c>
      <c r="F54" t="inlineStr">
        <is>
          <t>QUEIMADO</t>
        </is>
      </c>
      <c r="G54" t="inlineStr">
        <is>
          <t>esteira 1.582</t>
        </is>
      </c>
      <c r="H54" t="inlineStr">
        <is>
          <t>AUSENTE DA CRÍTICA</t>
        </is>
      </c>
      <c r="I54" t="n">
        <v>5700191054</v>
      </c>
      <c r="J54" t="inlineStr">
        <is>
          <t>ENC-LMPS01  000074/2026</t>
        </is>
      </c>
      <c r="K54" t="n">
        <v>212600238</v>
      </c>
      <c r="L54" t="inlineStr">
        <is>
          <t>2026-02-20 13:46</t>
        </is>
      </c>
      <c r="M54" t="inlineStr">
        <is>
          <t>2026-02-22 07:41</t>
        </is>
      </c>
      <c r="N54" t="inlineStr">
        <is>
          <t>FORMS SUBST DE TRANSFORMADOR</t>
        </is>
      </c>
      <c r="O54" t="inlineStr">
        <is>
          <t>ENC-RD-PS</t>
        </is>
      </c>
      <c r="P54" t="inlineStr">
        <is>
          <t>PUGMIL</t>
        </is>
      </c>
      <c r="Q54" t="inlineStr">
        <is>
          <t>QUEIMADO</t>
        </is>
      </c>
      <c r="R54" t="inlineStr">
        <is>
          <t>ABALROADO</t>
        </is>
      </c>
      <c r="S54" t="inlineStr">
        <is>
          <t>C241333</t>
        </is>
      </c>
      <c r="U54" t="inlineStr">
        <is>
          <t>não</t>
        </is>
      </c>
      <c r="V54" t="inlineStr">
        <is>
          <t>POSTE DE AT</t>
        </is>
      </c>
      <c r="W54" t="inlineStr">
        <is>
          <t>ABALROADO</t>
        </is>
      </c>
      <c r="X54" t="inlineStr">
        <is>
          <t>POSTE DE AT</t>
        </is>
      </c>
      <c r="Y54" t="inlineStr">
        <is>
          <t>ABALROADO</t>
        </is>
      </c>
      <c r="Z54" t="inlineStr">
        <is>
          <t>não</t>
        </is>
      </c>
      <c r="AA54" t="inlineStr">
        <is>
          <t>leitura caso a caso</t>
        </is>
      </c>
      <c r="AB54" t="inlineStr">
        <is>
          <t>Fora do indicador: o ativo não existe na base de interrupção. Sem registro de interrupção não há evento a medir.</t>
        </is>
      </c>
      <c r="AC54" t="inlineStr">
        <is>
          <t>substituir poste ID 47042587 10/300 estrutura do TR 5700191054 15KVA 19,9KV ACESSO BOM fotos anexadas na OS 20264131749370</t>
        </is>
      </c>
      <c r="AD54" s="15" t="inlineStr">
        <is>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is>
      </c>
    </row>
    <row r="55">
      <c r="A55" t="inlineStr">
        <is>
          <t>ETO-RD-AG 00164/2026</t>
        </is>
      </c>
      <c r="B55" t="inlineStr">
        <is>
          <t>fev</t>
        </is>
      </c>
      <c r="C55" t="inlineStr">
        <is>
          <t>Sem interrupção comprovada</t>
        </is>
      </c>
      <c r="D55" t="inlineStr">
        <is>
          <t>Sem interrupção</t>
        </is>
      </c>
      <c r="E55" t="inlineStr">
        <is>
          <t>EXPURGO</t>
        </is>
      </c>
      <c r="F55" t="inlineStr">
        <is>
          <t>QUEIMADO</t>
        </is>
      </c>
      <c r="G55" t="inlineStr">
        <is>
          <t>esteira 1.582</t>
        </is>
      </c>
      <c r="H55" t="inlineStr">
        <is>
          <t>AUSENTE DA CRÍTICA</t>
        </is>
      </c>
      <c r="I55" t="n">
        <v>5700032103</v>
      </c>
      <c r="J55" t="inlineStr">
        <is>
          <t>ENC-MPAG02  000017/2026</t>
        </is>
      </c>
      <c r="K55" t="n">
        <v>662600087</v>
      </c>
      <c r="L55" t="inlineStr">
        <is>
          <t>2026-02-07 19:18</t>
        </is>
      </c>
      <c r="M55" t="inlineStr">
        <is>
          <t>2026-02-08 01:55</t>
        </is>
      </c>
      <c r="N55" t="inlineStr">
        <is>
          <t>FORMS SUBST DE TRANSFORMADOR</t>
        </is>
      </c>
      <c r="O55" t="inlineStr">
        <is>
          <t>ETO-RD-AG</t>
        </is>
      </c>
      <c r="P55" t="inlineStr">
        <is>
          <t>SAO MIGUEL DO TOCANTINS</t>
        </is>
      </c>
      <c r="Q55" t="inlineStr">
        <is>
          <t>QUEIMADO</t>
        </is>
      </c>
      <c r="R55" t="inlineStr">
        <is>
          <t>DESCARGA ATMOSFÉRICA</t>
        </is>
      </c>
      <c r="S55" t="inlineStr">
        <is>
          <t>990387</t>
        </is>
      </c>
      <c r="T55" t="n">
        <v>20084012</v>
      </c>
      <c r="U55" t="inlineStr">
        <is>
          <t>sim</t>
        </is>
      </c>
      <c r="Z55" t="inlineStr">
        <is>
          <t>SIM</t>
        </is>
      </c>
      <c r="AA55" t="inlineStr">
        <is>
          <t>leitura caso a caso</t>
        </is>
      </c>
      <c r="AB5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5" t="inlineStr">
        <is>
          <t>trafo queimado</t>
        </is>
      </c>
      <c r="AD55" s="15" t="inlineStr">
        <is>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is>
      </c>
    </row>
    <row r="56">
      <c r="A56" t="inlineStr">
        <is>
          <t>ETO-RD-AR 00207/2026</t>
        </is>
      </c>
      <c r="B56" t="inlineStr">
        <is>
          <t>fev</t>
        </is>
      </c>
      <c r="C56" t="inlineStr">
        <is>
          <t>Sem interrupção comprovada</t>
        </is>
      </c>
      <c r="D56" t="inlineStr">
        <is>
          <t>Sem interrupção</t>
        </is>
      </c>
      <c r="E56" t="inlineStr">
        <is>
          <t>EXPURGO</t>
        </is>
      </c>
      <c r="F56" t="inlineStr">
        <is>
          <t>QUEIMADO</t>
        </is>
      </c>
      <c r="G56" t="inlineStr">
        <is>
          <t>esteira 1.582</t>
        </is>
      </c>
      <c r="H56" t="inlineStr">
        <is>
          <t>AUSENTE DA CRÍTICA</t>
        </is>
      </c>
      <c r="I56" t="n">
        <v>5366985025</v>
      </c>
      <c r="J56" t="inlineStr">
        <is>
          <t>ENC-MLAR05  000089/2026</t>
        </is>
      </c>
      <c r="K56" t="n">
        <v>612600141</v>
      </c>
      <c r="L56" t="inlineStr">
        <is>
          <t>2026-02-02 13:43</t>
        </is>
      </c>
      <c r="M56" t="inlineStr">
        <is>
          <t>2026-02-02 18:00</t>
        </is>
      </c>
      <c r="N56" t="inlineStr">
        <is>
          <t>FORMS SUBST DE TRANSFORMADOR</t>
        </is>
      </c>
      <c r="O56" t="inlineStr">
        <is>
          <t>ETO-RD-AR</t>
        </is>
      </c>
      <c r="P56" t="inlineStr">
        <is>
          <t>ARAPOEMA</t>
        </is>
      </c>
      <c r="Q56" t="inlineStr">
        <is>
          <t>QUEIMADO</t>
        </is>
      </c>
      <c r="R56" t="inlineStr">
        <is>
          <t>DESCARGA ATMOSFÉRICA</t>
        </is>
      </c>
      <c r="S56" t="inlineStr">
        <is>
          <t>C 287221</t>
        </is>
      </c>
      <c r="T56" t="n">
        <v>820280</v>
      </c>
      <c r="U56" t="inlineStr">
        <is>
          <t>sim</t>
        </is>
      </c>
      <c r="Z56" t="inlineStr">
        <is>
          <t>SIM</t>
        </is>
      </c>
      <c r="AA56" t="inlineStr">
        <is>
          <t>leitura caso a caso</t>
        </is>
      </c>
      <c r="AB56" t="inlineStr">
        <is>
          <t>Fora do indicador: o ativo não existe na base de interrupção. Sem registro de interrupção não há evento a medir.</t>
        </is>
      </c>
      <c r="AC56" t="inlineStr">
        <is>
          <t>Boa noite,Favor enviar manutenção para subsitutir trafo 5366985025</t>
        </is>
      </c>
      <c r="AD56" s="15" t="inlineStr">
        <is>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is>
      </c>
    </row>
    <row r="57">
      <c r="A57" t="inlineStr">
        <is>
          <t>ENC-RD-PS 00358/2026</t>
        </is>
      </c>
      <c r="B57" t="inlineStr">
        <is>
          <t>mar</t>
        </is>
      </c>
      <c r="C57" t="inlineStr">
        <is>
          <t>Sem interrupção comprovada</t>
        </is>
      </c>
      <c r="D57" t="inlineStr">
        <is>
          <t>Sem interrupção</t>
        </is>
      </c>
      <c r="E57" t="inlineStr">
        <is>
          <t>EXPURGO</t>
        </is>
      </c>
      <c r="F57" t="inlineStr">
        <is>
          <t>QUEIMADO</t>
        </is>
      </c>
      <c r="G57" t="inlineStr">
        <is>
          <t>esteira 1.582</t>
        </is>
      </c>
      <c r="H57" t="inlineStr">
        <is>
          <t>AUSENTE DA CRÍTICA</t>
        </is>
      </c>
      <c r="I57" t="n">
        <v>5700460055</v>
      </c>
      <c r="J57" t="inlineStr">
        <is>
          <t>ENC-LMPS04  000054/2026</t>
        </is>
      </c>
      <c r="K57" t="n">
        <v>212600327</v>
      </c>
      <c r="L57" t="inlineStr">
        <is>
          <t>2026-03-17 18:55</t>
        </is>
      </c>
      <c r="M57" t="inlineStr">
        <is>
          <t>2026-03-18 18:02</t>
        </is>
      </c>
      <c r="N57" t="inlineStr">
        <is>
          <t>FORMS SUBST DE TRANSFORMADOR</t>
        </is>
      </c>
      <c r="O57" t="inlineStr">
        <is>
          <t>ENC-RD-PS</t>
        </is>
      </c>
      <c r="P57" t="inlineStr">
        <is>
          <t>ARAGUACEMA</t>
        </is>
      </c>
      <c r="Q57" t="inlineStr">
        <is>
          <t>QUEIMADO</t>
        </is>
      </c>
      <c r="R57" t="inlineStr">
        <is>
          <t>DESCARGA ATMOSFÉRICA</t>
        </is>
      </c>
      <c r="S57" t="inlineStr">
        <is>
          <t>C299635</t>
        </is>
      </c>
      <c r="T57" t="n">
        <v>828125</v>
      </c>
      <c r="U57" t="inlineStr">
        <is>
          <t>sim</t>
        </is>
      </c>
      <c r="Z57" t="inlineStr">
        <is>
          <t>SIM</t>
        </is>
      </c>
      <c r="AA57" t="inlineStr">
        <is>
          <t>leitura caso a caso</t>
        </is>
      </c>
      <c r="AB57" t="inlineStr">
        <is>
          <t>Fora do indicador: o ativo não existe na base de interrupção. Sem registro de interrupção não há evento a medir.</t>
        </is>
      </c>
      <c r="AC57" t="inlineStr">
        <is>
          <t>TR 5763273055 15KVAPARA RAIO DANIFICADO ACESSO LIVRE PARA CAMINHONETE 055OP01 ESTEVE NO LOCAL TRAFO NAO AXISTE NO SISTEMA (ERRO CADASTRO) FICA PROX AO TR 5700460055MAIS INFORMAÇOES ENTRA EM CONTATO COM EQUIPE 055OP01</t>
        </is>
      </c>
      <c r="AD57" s="15" t="inlineStr">
        <is>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is>
      </c>
    </row>
    <row r="58">
      <c r="A58" t="inlineStr">
        <is>
          <t>DOLP-RD-PA 00382/2026</t>
        </is>
      </c>
      <c r="B58" t="inlineStr">
        <is>
          <t>mar</t>
        </is>
      </c>
      <c r="C58" t="inlineStr">
        <is>
          <t>Sem interrupção comprovada</t>
        </is>
      </c>
      <c r="D58" t="inlineStr">
        <is>
          <t>Sem interrupção</t>
        </is>
      </c>
      <c r="E58" t="inlineStr">
        <is>
          <t>EXPURGO</t>
        </is>
      </c>
      <c r="F58" t="inlineStr">
        <is>
          <t>QUEIMADO</t>
        </is>
      </c>
      <c r="G58" t="inlineStr">
        <is>
          <t>esteira 1.582</t>
        </is>
      </c>
      <c r="H58" t="inlineStr">
        <is>
          <t>AUSENTE DA CRÍTICA</t>
        </is>
      </c>
      <c r="I58" t="n">
        <v>5763161196</v>
      </c>
      <c r="J58" t="inlineStr">
        <is>
          <t>DLP-MLPA01  000099/2026</t>
        </is>
      </c>
      <c r="K58" t="n">
        <v>112600358</v>
      </c>
      <c r="L58" t="inlineStr">
        <is>
          <t>2026-03-24 14:14</t>
        </is>
      </c>
      <c r="M58" t="inlineStr">
        <is>
          <t>2026-03-23 18:20</t>
        </is>
      </c>
      <c r="N58" t="inlineStr">
        <is>
          <t>FORMS SUBST DE TRANSFORMADOR</t>
        </is>
      </c>
      <c r="O58" t="inlineStr">
        <is>
          <t>DOLP-RD-PA</t>
        </is>
      </c>
      <c r="P58" t="inlineStr">
        <is>
          <t>LAGOA DO TOCANTINS</t>
        </is>
      </c>
      <c r="Q58" t="inlineStr">
        <is>
          <t>QUEIMADO</t>
        </is>
      </c>
      <c r="R58" t="inlineStr">
        <is>
          <t>DESCARGA ATMOSFÉRICA</t>
        </is>
      </c>
      <c r="S58" t="inlineStr">
        <is>
          <t>474885</t>
        </is>
      </c>
      <c r="T58" t="n">
        <v>1403743</v>
      </c>
      <c r="U58" t="inlineStr">
        <is>
          <t>sim</t>
        </is>
      </c>
      <c r="V58" t="inlineStr">
        <is>
          <t>CAUSA NAO IDENTIFICADA</t>
        </is>
      </c>
      <c r="W58" t="inlineStr">
        <is>
          <t>CAUSA NAO IDENTIFICADA - ESPECIFICAR</t>
        </is>
      </c>
      <c r="Z58" t="inlineStr">
        <is>
          <t>SIM</t>
        </is>
      </c>
      <c r="AA58" t="inlineStr">
        <is>
          <t>leitura caso a caso</t>
        </is>
      </c>
      <c r="AB5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8" t="inlineStr">
        <is>
          <t>SEGUE SS DE TRAFO 5763161196 QUEIMADO NA RDR DE LAGOA DO TOCANTINS. PARA AS DEVIDAS TRATATIVAS COM EQUIPE DE MANUTENÇÃOOBS: LEVAR JOGO DE CHAVE FUSIVEL PARA INSTALAR NA MESMA ESTRUTURA DE TRAFO</t>
        </is>
      </c>
      <c r="AD58" s="15"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t>
        </is>
      </c>
    </row>
    <row r="59">
      <c r="A59" t="inlineStr">
        <is>
          <t>ETO-RD-GR 00174/2026</t>
        </is>
      </c>
      <c r="B59" t="inlineStr">
        <is>
          <t>fev</t>
        </is>
      </c>
      <c r="C59" t="inlineStr">
        <is>
          <t>Sem interrupção comprovada</t>
        </is>
      </c>
      <c r="D59" t="inlineStr">
        <is>
          <t>Sem interrupção</t>
        </is>
      </c>
      <c r="E59" t="inlineStr">
        <is>
          <t>EXPURGO</t>
        </is>
      </c>
      <c r="F59" t="inlineStr">
        <is>
          <t>QUEIMADO</t>
        </is>
      </c>
      <c r="G59" t="inlineStr">
        <is>
          <t>esteira 1.582</t>
        </is>
      </c>
      <c r="H59" t="inlineStr">
        <is>
          <t>AUSENTE DA CRÍTICA</t>
        </is>
      </c>
      <c r="I59" t="n">
        <v>5747088104</v>
      </c>
      <c r="J59" t="inlineStr">
        <is>
          <t>ETO-RD-GR  000258/2026</t>
        </is>
      </c>
      <c r="K59" t="n">
        <v>712600133</v>
      </c>
      <c r="L59" t="inlineStr">
        <is>
          <t>2026-02-03 13:24</t>
        </is>
      </c>
      <c r="M59" t="inlineStr">
        <is>
          <t>2026-02-06 08:20</t>
        </is>
      </c>
      <c r="N59" t="inlineStr">
        <is>
          <t>FORMS SUBST DE TRANSFORMADOR</t>
        </is>
      </c>
      <c r="O59" t="inlineStr">
        <is>
          <t>ETO-RD-GR</t>
        </is>
      </c>
      <c r="P59" t="inlineStr">
        <is>
          <t>BOM JESUS DO TOCANTINS</t>
        </is>
      </c>
      <c r="Q59" t="inlineStr">
        <is>
          <t>QUEIMADO</t>
        </is>
      </c>
      <c r="R59" t="inlineStr">
        <is>
          <t>DESCARGA ATMOSFÉRICA</t>
        </is>
      </c>
      <c r="U59" t="inlineStr">
        <is>
          <t>não</t>
        </is>
      </c>
      <c r="Z59" t="inlineStr">
        <is>
          <t>SIM</t>
        </is>
      </c>
      <c r="AA59" t="inlineStr">
        <is>
          <t>leitura caso a caso</t>
        </is>
      </c>
      <c r="AB59" t="inlineStr">
        <is>
          <t>Fora do indicador: o ativo não existe na base de interrupção. Sem registro de interrupção não há evento a medir.</t>
        </is>
      </c>
      <c r="AC59" t="inlineStr">
        <is>
          <t>trafo queimado 5747088104 - 15KVA - 34,5KV - Acesso caminhonete - para raio queimadofazenda conquista - cliente Jose Reis Amario da Silva tel. 9.92521087 rdr Bom Jesus do Tocantins</t>
        </is>
      </c>
      <c r="AD59" s="15" t="inlineStr">
        <is>
          <t>trafo queimado 5747088104 - 15KVA - 34,5KV - Acesso caminhonete - para raio queimado 
fazenda conquista - cliente Jose Reis Amario da Silva  
tel. 9.92521087 rdr Bom Jesus do Tocantins</t>
        </is>
      </c>
    </row>
    <row r="60">
      <c r="A60" t="inlineStr">
        <is>
          <t>ETO-RD-GR 00189/2026</t>
        </is>
      </c>
      <c r="B60" t="inlineStr">
        <is>
          <t>fev</t>
        </is>
      </c>
      <c r="C60" t="inlineStr">
        <is>
          <t>Sem interrupção comprovada</t>
        </is>
      </c>
      <c r="D60" t="inlineStr">
        <is>
          <t>Sem interrupção</t>
        </is>
      </c>
      <c r="E60" t="inlineStr">
        <is>
          <t>EXPURGO</t>
        </is>
      </c>
      <c r="F60" t="inlineStr">
        <is>
          <t>QUEIMADO</t>
        </is>
      </c>
      <c r="G60" t="inlineStr">
        <is>
          <t>esteira 1.582</t>
        </is>
      </c>
      <c r="H60" t="inlineStr">
        <is>
          <t>AUSENTE DA CRÍTICA</t>
        </is>
      </c>
      <c r="I60" t="n">
        <v>5700424154</v>
      </c>
      <c r="J60" t="inlineStr">
        <is>
          <t>ETO-RD-GR  000256/2026</t>
        </is>
      </c>
      <c r="K60" t="n">
        <v>712600129</v>
      </c>
      <c r="L60" t="inlineStr">
        <is>
          <t>2026-02-04 18:05</t>
        </is>
      </c>
      <c r="M60" t="inlineStr">
        <is>
          <t>2026-02-05 15:30</t>
        </is>
      </c>
      <c r="N60" t="inlineStr">
        <is>
          <t>FORMS SUBST DE TRANSFORMADOR</t>
        </is>
      </c>
      <c r="O60" t="inlineStr">
        <is>
          <t>ETO-RD-GR</t>
        </is>
      </c>
      <c r="P60" t="inlineStr">
        <is>
          <t>JUARINA</t>
        </is>
      </c>
      <c r="Q60" t="inlineStr">
        <is>
          <t>QUEIMADO</t>
        </is>
      </c>
      <c r="R60" t="inlineStr">
        <is>
          <t>DESCARGA ATMOSFÉRICA</t>
        </is>
      </c>
      <c r="S60" t="inlineStr">
        <is>
          <t>457208</t>
        </is>
      </c>
      <c r="U60" t="inlineStr">
        <is>
          <t>não</t>
        </is>
      </c>
      <c r="Z60" t="inlineStr">
        <is>
          <t>SIM</t>
        </is>
      </c>
      <c r="AA60" t="inlineStr">
        <is>
          <t>leitura caso a caso</t>
        </is>
      </c>
      <c r="AB60" t="inlineStr">
        <is>
          <t>Fora do indicador: o ativo não existe na base de interrupção. Sem registro de interrupção não há evento a medir.</t>
        </is>
      </c>
      <c r="AC60" t="inlineStr">
        <is>
          <t>TR-5700424154 Queimadopara raios queiamdo potência 10kvatensão 34,5kvacesso livreequipe 154op01 tel-63992674347</t>
        </is>
      </c>
      <c r="AD60" s="15" t="inlineStr">
        <is>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is>
      </c>
    </row>
    <row r="61">
      <c r="A61" t="inlineStr">
        <is>
          <t>ETO-RD-GR 00233/2026</t>
        </is>
      </c>
      <c r="B61" t="inlineStr">
        <is>
          <t>fev</t>
        </is>
      </c>
      <c r="C61" t="inlineStr">
        <is>
          <t>Sem interrupção comprovada</t>
        </is>
      </c>
      <c r="D61" t="inlineStr">
        <is>
          <t>Sem interrupção</t>
        </is>
      </c>
      <c r="E61" t="inlineStr">
        <is>
          <t>EXPURGO</t>
        </is>
      </c>
      <c r="F61" t="inlineStr">
        <is>
          <t>QUEIMADO</t>
        </is>
      </c>
      <c r="G61" t="inlineStr">
        <is>
          <t>esteira 1.582</t>
        </is>
      </c>
      <c r="H61" t="inlineStr">
        <is>
          <t>AUSENTE DA CRÍTICA</t>
        </is>
      </c>
      <c r="I61" t="n">
        <v>5700569227</v>
      </c>
      <c r="J61" t="inlineStr">
        <is>
          <t>ETO-RD-GR  000306/2026</t>
        </is>
      </c>
      <c r="K61" t="n">
        <v>712600148</v>
      </c>
      <c r="L61" t="inlineStr">
        <is>
          <t>2026-02-15 13:28</t>
        </is>
      </c>
      <c r="M61" t="inlineStr">
        <is>
          <t>2026-02-17 08:23</t>
        </is>
      </c>
      <c r="N61" t="inlineStr">
        <is>
          <t>FORMS SUBST DE TRANSFORMADOR</t>
        </is>
      </c>
      <c r="O61" t="inlineStr">
        <is>
          <t>ETO-RD-GR</t>
        </is>
      </c>
      <c r="P61" t="inlineStr">
        <is>
          <t>RECURSOLANDIA</t>
        </is>
      </c>
      <c r="Q61" t="inlineStr">
        <is>
          <t>QUEIMADO</t>
        </is>
      </c>
      <c r="R61" t="inlineStr">
        <is>
          <t>DESCARGA ATMOSFÉRICA</t>
        </is>
      </c>
      <c r="U61" t="inlineStr">
        <is>
          <t>não</t>
        </is>
      </c>
      <c r="Z61" t="inlineStr">
        <is>
          <t>SIM</t>
        </is>
      </c>
      <c r="AA61" t="inlineStr">
        <is>
          <t>leitura caso a caso</t>
        </is>
      </c>
      <c r="AB61" t="inlineStr">
        <is>
          <t>Fora do indicador: o ativo não existe na base de interrupção. Sem registro de interrupção não há evento a medir.</t>
        </is>
      </c>
      <c r="AC61" t="inlineStr">
        <is>
          <t>TRAFO 5745261227 SAI COM RDU DO TRAFO 5700013227 E FICA  A FRENTE DO TRAFO 5700569227 QUEIMADO PARA RAIO TAMBÉM DE 15 KVA NA NA REDE 19,9 KV ACESSO BOM PARA CAMIONETE FOI FEITO TESTE AVAZIO COSTATADO QUEIMADO COM VAZAMENTO DE ÓLEO</t>
        </is>
      </c>
      <c r="AD61" t="inlineStr">
        <is>
          <t>TRAFO 5745261227 SAI COM RDU DO TRAFO 5700013227 E FICA  A FRENTE DO TRAFO 5700569227 QUEIMADO PARA RAIO TAMBÉM DE 15 KVA NA NA REDE 19,9 KV ACESSO BOM PARA CAMIONETE FOI FEITO TESTE AVAZIO COSTATADO QUEIMADO COM VAZAMENTO DE ÓLEO</t>
        </is>
      </c>
    </row>
    <row r="62">
      <c r="A62" t="inlineStr">
        <is>
          <t>ETO-RD-GR 00259/2026</t>
        </is>
      </c>
      <c r="B62" t="inlineStr">
        <is>
          <t>fev</t>
        </is>
      </c>
      <c r="C62" t="inlineStr">
        <is>
          <t>Sem interrupção comprovada</t>
        </is>
      </c>
      <c r="D62" t="inlineStr">
        <is>
          <t>Sem interrupção</t>
        </is>
      </c>
      <c r="E62" t="inlineStr">
        <is>
          <t>EXPURGO</t>
        </is>
      </c>
      <c r="F62" t="inlineStr">
        <is>
          <t>QUEIMADO</t>
        </is>
      </c>
      <c r="G62" t="inlineStr">
        <is>
          <t>esteira 1.582</t>
        </is>
      </c>
      <c r="H62" t="inlineStr">
        <is>
          <t>AUSENTE DA CRÍTICA</t>
        </is>
      </c>
      <c r="I62" t="n">
        <v>5710023113</v>
      </c>
      <c r="J62" t="inlineStr">
        <is>
          <t>ETO-RD-GR  000353/2026</t>
        </is>
      </c>
      <c r="K62" t="n">
        <v>712600176</v>
      </c>
      <c r="L62" t="inlineStr">
        <is>
          <t>2026-02-21 13:09</t>
        </is>
      </c>
      <c r="M62" t="inlineStr">
        <is>
          <t>2026-02-24 10:44</t>
        </is>
      </c>
      <c r="N62" t="inlineStr">
        <is>
          <t>FORMS SUBST DE TRANSFORMADOR</t>
        </is>
      </c>
      <c r="O62" t="inlineStr">
        <is>
          <t>ETO-RD-GR</t>
        </is>
      </c>
      <c r="P62" t="inlineStr">
        <is>
          <t>COUTO MAGALHAES</t>
        </is>
      </c>
      <c r="Q62" t="inlineStr">
        <is>
          <t>QUEIMADO</t>
        </is>
      </c>
      <c r="R62" t="inlineStr">
        <is>
          <t>DESCARGA ATMOSFÉRICA</t>
        </is>
      </c>
      <c r="U62" t="inlineStr">
        <is>
          <t>não</t>
        </is>
      </c>
      <c r="Z62" t="inlineStr">
        <is>
          <t>SIM</t>
        </is>
      </c>
      <c r="AA62" t="inlineStr">
        <is>
          <t>leitura caso a caso</t>
        </is>
      </c>
      <c r="AB62" t="inlineStr">
        <is>
          <t>Fora do indicador: o ativo não existe na base de interrupção. Sem registro de interrupção não há evento a medir.</t>
        </is>
      </c>
      <c r="AC62" t="inlineStr">
        <is>
          <t>trafo queimado 5710023113 - 15KVA - 34,5KV acesso caminhonete para raio queimado necessario refazer aterramento IND ASSENTAMEN P.A. UNIAO, 0 - CHA JANDAIAuc 562509263991206181 -RDR COUTO MAGALHAES</t>
        </is>
      </c>
      <c r="AD62" s="15" t="inlineStr">
        <is>
          <t>trafo queimado 5710023113 - 15KVA - 34,5KV acesso caminhonete para raio queimado  
necessario refazer aterramento  
IND ASSENTAMEN P.A. UNIAO, 0 - CHA JANDAIA 
uc 5625092 
63991206181 
 -RDR COUTO MAGALHAES</t>
        </is>
      </c>
    </row>
    <row r="63">
      <c r="A63" t="inlineStr">
        <is>
          <t>ETO-RD-GR 00292/2026</t>
        </is>
      </c>
      <c r="B63" t="inlineStr">
        <is>
          <t>fev</t>
        </is>
      </c>
      <c r="C63" t="inlineStr">
        <is>
          <t>Sem interrupção comprovada</t>
        </is>
      </c>
      <c r="D63" t="inlineStr">
        <is>
          <t>Sem interrupção</t>
        </is>
      </c>
      <c r="E63" t="inlineStr">
        <is>
          <t>EXPURGO</t>
        </is>
      </c>
      <c r="F63" t="inlineStr">
        <is>
          <t>QUEIMADO</t>
        </is>
      </c>
      <c r="G63" t="inlineStr">
        <is>
          <t>esteira 1.582</t>
        </is>
      </c>
      <c r="H63" t="inlineStr">
        <is>
          <t>AUSENTE DA CRÍTICA</t>
        </is>
      </c>
      <c r="I63" t="n">
        <v>5710447023</v>
      </c>
      <c r="J63" t="inlineStr">
        <is>
          <t>ENC-MLGR03  000084/2026</t>
        </is>
      </c>
      <c r="K63" t="n">
        <v>712600196</v>
      </c>
      <c r="L63" t="inlineStr">
        <is>
          <t>2026-02-26 19:07</t>
        </is>
      </c>
      <c r="M63" t="inlineStr">
        <is>
          <t>2026-02-28 03:11</t>
        </is>
      </c>
      <c r="N63" t="inlineStr">
        <is>
          <t>FORMS SUBST DE TRANSFORMADOR</t>
        </is>
      </c>
      <c r="O63" t="inlineStr">
        <is>
          <t>ETO-RD-GR</t>
        </is>
      </c>
      <c r="P63" t="inlineStr">
        <is>
          <t>COLINAS DO TOCANTINS</t>
        </is>
      </c>
      <c r="Q63" t="inlineStr">
        <is>
          <t>QUEIMADO</t>
        </is>
      </c>
      <c r="R63" t="inlineStr">
        <is>
          <t>DESCARGA ATMOSFÉRICA</t>
        </is>
      </c>
      <c r="S63" t="inlineStr">
        <is>
          <t>69687</t>
        </is>
      </c>
      <c r="T63" t="n">
        <v>1024143</v>
      </c>
      <c r="U63" t="inlineStr">
        <is>
          <t>sim</t>
        </is>
      </c>
      <c r="Z63" t="inlineStr">
        <is>
          <t>SIM</t>
        </is>
      </c>
      <c r="AA63" t="inlineStr">
        <is>
          <t>leitura caso a caso</t>
        </is>
      </c>
      <c r="AB63" t="inlineStr">
        <is>
          <t>Fora do indicador: o ativo não existe na base de interrupção. Sem registro de interrupção não há evento a medir.</t>
        </is>
      </c>
      <c r="AC63" t="inlineStr">
        <is>
          <t>Boa noite,Favor enviar manutenção para substituir trafo queimado 5710447023</t>
        </is>
      </c>
      <c r="AD63" s="15" t="inlineStr">
        <is>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is>
      </c>
    </row>
    <row r="64">
      <c r="A64" t="inlineStr">
        <is>
          <t>ETO-RD-GR 00295/2026</t>
        </is>
      </c>
      <c r="B64" t="inlineStr">
        <is>
          <t>fev</t>
        </is>
      </c>
      <c r="C64" t="inlineStr">
        <is>
          <t>Sem interrupção comprovada</t>
        </is>
      </c>
      <c r="D64" t="inlineStr">
        <is>
          <t>Sem interrupção</t>
        </is>
      </c>
      <c r="E64" t="inlineStr">
        <is>
          <t>EXPURGO</t>
        </is>
      </c>
      <c r="F64" t="inlineStr">
        <is>
          <t>QUEIMADO</t>
        </is>
      </c>
      <c r="G64" t="inlineStr">
        <is>
          <t>esteira 1.582</t>
        </is>
      </c>
      <c r="H64" t="inlineStr">
        <is>
          <t>AUSENTE DA CRÍTICA</t>
        </is>
      </c>
      <c r="I64" t="n">
        <v>5710173023</v>
      </c>
      <c r="J64" t="inlineStr">
        <is>
          <t>ENC-MLGR03  000082/2026</t>
        </is>
      </c>
      <c r="K64" t="n">
        <v>712600194</v>
      </c>
      <c r="L64" t="inlineStr">
        <is>
          <t>2026-02-27 15:07</t>
        </is>
      </c>
      <c r="M64" t="inlineStr">
        <is>
          <t>2026-02-28 16:52</t>
        </is>
      </c>
      <c r="N64" t="inlineStr">
        <is>
          <t>FORMS SUBST DE TRANSFORMADOR</t>
        </is>
      </c>
      <c r="O64" t="inlineStr">
        <is>
          <t>ETO-RD-GR</t>
        </is>
      </c>
      <c r="P64" t="inlineStr">
        <is>
          <t>COLINAS DO TOCANTINS</t>
        </is>
      </c>
      <c r="Q64" t="inlineStr">
        <is>
          <t>QUEIMADO</t>
        </is>
      </c>
      <c r="R64" t="inlineStr">
        <is>
          <t>BUCHA DANIFICADA</t>
        </is>
      </c>
      <c r="S64" t="inlineStr">
        <is>
          <t>182622</t>
        </is>
      </c>
      <c r="T64" t="n">
        <v>133927</v>
      </c>
      <c r="U64" t="inlineStr">
        <is>
          <t>sim</t>
        </is>
      </c>
      <c r="Z64" t="inlineStr">
        <is>
          <t>SIM</t>
        </is>
      </c>
      <c r="AA64" t="inlineStr">
        <is>
          <t>leitura caso a caso</t>
        </is>
      </c>
      <c r="AB6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4" t="inlineStr">
        <is>
          <t>Boa tarde,Favor enviar manutenção para subsitutir trafo com bucha secundaria com defeito 5710173023Obs: Necessario substituir cruzeta deterioradaEstrutura: N3</t>
        </is>
      </c>
      <c r="AD64" s="15" t="inlineStr">
        <is>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is>
      </c>
    </row>
    <row r="65">
      <c r="A65" t="inlineStr">
        <is>
          <t>ETO-RD-GU 00218/2026</t>
        </is>
      </c>
      <c r="B65" t="inlineStr">
        <is>
          <t>fev</t>
        </is>
      </c>
      <c r="C65" t="inlineStr">
        <is>
          <t>Sem interrupção comprovada</t>
        </is>
      </c>
      <c r="D65" t="inlineStr">
        <is>
          <t>Sem interrupção</t>
        </is>
      </c>
      <c r="E65" t="inlineStr">
        <is>
          <t>EXPURGO</t>
        </is>
      </c>
      <c r="F65" t="inlineStr">
        <is>
          <t>QUEIMADO</t>
        </is>
      </c>
      <c r="G65" t="inlineStr">
        <is>
          <t>esteira 1.582</t>
        </is>
      </c>
      <c r="H65" t="inlineStr">
        <is>
          <t>AUSENTE DA CRÍTICA</t>
        </is>
      </c>
      <c r="I65" t="n">
        <v>5710863003</v>
      </c>
      <c r="J65" t="inlineStr">
        <is>
          <t>DBM-MLDB04  000059/2026</t>
        </is>
      </c>
      <c r="K65" t="n">
        <v>412600221</v>
      </c>
      <c r="L65" t="inlineStr">
        <is>
          <t>2026-02-16 19:10</t>
        </is>
      </c>
      <c r="M65" t="inlineStr">
        <is>
          <t>2026-02-23 08:10</t>
        </is>
      </c>
      <c r="N65" t="inlineStr">
        <is>
          <t>FORMS SUBST DE TRANSFORMADOR</t>
        </is>
      </c>
      <c r="O65" t="inlineStr">
        <is>
          <t>ETO-RD-GU</t>
        </is>
      </c>
      <c r="P65" t="inlineStr">
        <is>
          <t>GURUPI</t>
        </is>
      </c>
      <c r="Q65" t="inlineStr">
        <is>
          <t>QUEIMADO</t>
        </is>
      </c>
      <c r="R65" t="inlineStr">
        <is>
          <t>DESCARGA ATMOSFÉRICA</t>
        </is>
      </c>
      <c r="S65" t="inlineStr">
        <is>
          <t>670034</t>
        </is>
      </c>
      <c r="U65" t="inlineStr">
        <is>
          <t>não</t>
        </is>
      </c>
      <c r="V65" t="inlineStr">
        <is>
          <t>MEIO AMBIENTE</t>
        </is>
      </c>
      <c r="W65" t="inlineStr">
        <is>
          <t>DESCARGA ATMOSFERICA</t>
        </is>
      </c>
      <c r="Z65" t="inlineStr">
        <is>
          <t>SIM</t>
        </is>
      </c>
      <c r="AA65" t="inlineStr">
        <is>
          <t>leitura caso a caso</t>
        </is>
      </c>
      <c r="AB6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5" t="inlineStr">
        <is>
          <t>TRAFO 5710863003 QUEIMADO EM CAMPO DE 15 KVA ACESSO PARA CAMIONETE PARA RAIO QUEIMADO</t>
        </is>
      </c>
      <c r="AD65" s="15" t="inlineStr">
        <is>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is>
      </c>
    </row>
    <row r="66">
      <c r="A66" t="inlineStr">
        <is>
          <t>DG-RD-PO 00233/2026</t>
        </is>
      </c>
      <c r="B66" t="inlineStr">
        <is>
          <t>mar</t>
        </is>
      </c>
      <c r="C66" t="inlineStr">
        <is>
          <t>Sem interrupção comprovada</t>
        </is>
      </c>
      <c r="D66" t="inlineStr">
        <is>
          <t>Sem interrupção</t>
        </is>
      </c>
      <c r="E66" t="inlineStr">
        <is>
          <t>EXPURGO</t>
        </is>
      </c>
      <c r="F66" t="inlineStr">
        <is>
          <t>QUEIMADO</t>
        </is>
      </c>
      <c r="G66" t="inlineStr">
        <is>
          <t>esteira 1.582</t>
        </is>
      </c>
      <c r="H66" t="inlineStr">
        <is>
          <t>AUSENTE DA CRÍTICA</t>
        </is>
      </c>
      <c r="I66" t="n">
        <v>5702646001</v>
      </c>
      <c r="J66" t="inlineStr">
        <is>
          <t>DG-MPDG01  000054/2026</t>
        </is>
      </c>
      <c r="K66" t="n">
        <v>312600177</v>
      </c>
      <c r="L66" t="inlineStr">
        <is>
          <t>2026-03-03 08:09</t>
        </is>
      </c>
      <c r="M66" t="inlineStr">
        <is>
          <t>2026-03-03 08:45</t>
        </is>
      </c>
      <c r="N66" t="inlineStr">
        <is>
          <t>AVISO DE ANOMALIA</t>
        </is>
      </c>
      <c r="O66" t="inlineStr">
        <is>
          <t>DG-RD-PO</t>
        </is>
      </c>
      <c r="P66" t="inlineStr">
        <is>
          <t>PORTO NACIONAL</t>
        </is>
      </c>
      <c r="Q66" t="inlineStr">
        <is>
          <t>QUEIMADO</t>
        </is>
      </c>
      <c r="S66" t="inlineStr">
        <is>
          <t>2695</t>
        </is>
      </c>
      <c r="T66" t="n">
        <v>1597377</v>
      </c>
      <c r="U66" t="inlineStr">
        <is>
          <t>sim</t>
        </is>
      </c>
      <c r="Z66" t="inlineStr">
        <is>
          <t>não</t>
        </is>
      </c>
      <c r="AA66" t="inlineStr">
        <is>
          <t>leitura caso a caso</t>
        </is>
      </c>
      <c r="AB66" t="inlineStr">
        <is>
          <t>Fora do indicador: o ativo não existe na base de interrupção. Sem registro de interrupção não há evento a medir.</t>
        </is>
      </c>
      <c r="AC66" t="inlineStr">
        <is>
          <t>segue nota trafo queimado de 45kVA paraio bom</t>
        </is>
      </c>
      <c r="AD66" s="15" t="inlineStr">
        <is>
          <t xml:space="preserve">medido_ 
emergencial_ 
substituição de trafo queimado rdu porto 
obs: cobrando sobre aviso pedrini 21 a 23/02 
</t>
        </is>
      </c>
    </row>
    <row r="67">
      <c r="A67" t="inlineStr">
        <is>
          <t>DG-RD-PO 00243/2026</t>
        </is>
      </c>
      <c r="B67" t="inlineStr">
        <is>
          <t>mar</t>
        </is>
      </c>
      <c r="C67" t="inlineStr">
        <is>
          <t>Sem interrupção comprovada</t>
        </is>
      </c>
      <c r="D67" t="inlineStr">
        <is>
          <t>Sem interrupção</t>
        </is>
      </c>
      <c r="E67" t="inlineStr">
        <is>
          <t>EXPURGO</t>
        </is>
      </c>
      <c r="F67" t="inlineStr">
        <is>
          <t>QUEIMADO</t>
        </is>
      </c>
      <c r="G67" t="inlineStr">
        <is>
          <t>esteira 1.582</t>
        </is>
      </c>
      <c r="H67" t="inlineStr">
        <is>
          <t>AUSENTE DA CRÍTICA</t>
        </is>
      </c>
      <c r="I67" t="n">
        <v>5710079256</v>
      </c>
      <c r="J67" t="inlineStr">
        <is>
          <t>DG-MLPO02  000052/2026</t>
        </is>
      </c>
      <c r="K67" t="n">
        <v>312600197</v>
      </c>
      <c r="L67" t="inlineStr">
        <is>
          <t>2026-03-05 19:31</t>
        </is>
      </c>
      <c r="M67" t="inlineStr">
        <is>
          <t>2026-03-08 11:24</t>
        </is>
      </c>
      <c r="N67" t="inlineStr">
        <is>
          <t>FORMS SUBST DE TRANSFORMADOR</t>
        </is>
      </c>
      <c r="O67" t="inlineStr">
        <is>
          <t>DG-RD-PO</t>
        </is>
      </c>
      <c r="P67" t="inlineStr">
        <is>
          <t>MATEIROS</t>
        </is>
      </c>
      <c r="Q67" t="inlineStr">
        <is>
          <t>QUEIMADO</t>
        </is>
      </c>
      <c r="R67" t="inlineStr">
        <is>
          <t>DESCARGA ATMOSFÉRICA</t>
        </is>
      </c>
      <c r="S67" t="inlineStr">
        <is>
          <t>332336</t>
        </is>
      </c>
      <c r="T67" t="n">
        <v>463560</v>
      </c>
      <c r="U67" t="inlineStr">
        <is>
          <t>sim</t>
        </is>
      </c>
      <c r="Z67" t="inlineStr">
        <is>
          <t>SIM</t>
        </is>
      </c>
      <c r="AA67" t="inlineStr">
        <is>
          <t>leitura caso a caso</t>
        </is>
      </c>
      <c r="AB67" t="inlineStr">
        <is>
          <t>Fora do indicador: o ativo não existe na base de interrupção. Sem registro de interrupção não há evento a medir.</t>
        </is>
      </c>
      <c r="AC67" t="inlineStr">
        <is>
          <t>TR 5710079256 queimado</t>
        </is>
      </c>
      <c r="AD67" s="15" t="inlineStr">
        <is>
          <t xml:space="preserve">medido_ 
emergencial_ 
substituição de trafo queimado rdr mateiros 
</t>
        </is>
      </c>
    </row>
  </sheetData>
  <pageMargins left="0.511811024" right="0.511811024" top="0.787401575" bottom="0.787401575" header="0.31496062" footer="0.31496062"/>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D28"/>
  <sheetViews>
    <sheetView workbookViewId="0">
      <selection activeCell="A1" sqref="A1"/>
    </sheetView>
  </sheetViews>
  <sheetFormatPr baseColWidth="8" defaultRowHeight="15"/>
  <cols>
    <col width="22.7109375" bestFit="1" customWidth="1" min="1" max="1"/>
    <col hidden="1" width="9.28515625" customWidth="1" min="2" max="2"/>
    <col hidden="1" width="27.42578125" customWidth="1" min="3" max="3"/>
    <col hidden="1" width="13.42578125" customWidth="1" min="4" max="4"/>
    <col hidden="1" width="12.140625" customWidth="1" min="5" max="5"/>
    <col hidden="1" width="21.5703125" customWidth="1" min="6" max="6"/>
    <col hidden="1" width="19.85546875" customWidth="1" min="7" max="7"/>
    <col hidden="1" width="26.7109375" customWidth="1" min="8" max="8"/>
    <col width="11" bestFit="1" customWidth="1" min="9" max="9"/>
    <col hidden="1" width="25" customWidth="1" min="10" max="10"/>
    <col hidden="1" width="10" customWidth="1" min="11" max="11"/>
    <col width="15.5703125" customWidth="1" min="12" max="13"/>
    <col width="33.28515625" customWidth="1" min="14" max="14"/>
    <col width="9.28515625" customWidth="1" min="15" max="15"/>
    <col width="28.5703125" customWidth="1" min="16" max="16"/>
    <col width="14.85546875" customWidth="1" min="17" max="17"/>
    <col width="23.85546875" customWidth="1" min="18" max="18"/>
    <col width="13.28515625" customWidth="1" min="19" max="19"/>
    <col width="14.28515625" customWidth="1" min="20" max="20"/>
    <col width="16" customWidth="1" min="21" max="21"/>
    <col width="16.7109375" customWidth="1" min="22" max="22"/>
    <col width="53.140625" customWidth="1" min="23" max="23"/>
    <col width="17.5703125" customWidth="1" min="24" max="24"/>
    <col width="39" customWidth="1" min="25" max="25"/>
    <col width="14" customWidth="1" min="26" max="26"/>
    <col width="18.85546875" customWidth="1" min="27" max="27"/>
    <col width="255.7109375" customWidth="1" min="28" max="30"/>
  </cols>
  <sheetData>
    <row r="1">
      <c r="A1" s="16" t="inlineStr">
        <is>
          <t>Detalhes do Contagem de SS - Motivo: Fora da janela, Categoria pelo texto: QUEIMADO</t>
        </is>
      </c>
    </row>
    <row r="3">
      <c r="A3" t="inlineStr">
        <is>
          <t>SS</t>
        </is>
      </c>
      <c r="B3" t="inlineStr">
        <is>
          <t>Mês</t>
        </is>
      </c>
      <c r="C3" t="inlineStr">
        <is>
          <t>Macro categoria</t>
        </is>
      </c>
      <c r="D3" t="inlineStr">
        <is>
          <t>Motivo</t>
        </is>
      </c>
      <c r="E3" t="inlineStr">
        <is>
          <t>Resultado</t>
        </is>
      </c>
      <c r="F3" t="inlineStr">
        <is>
          <t>Categoria pelo texto</t>
        </is>
      </c>
      <c r="G3" t="inlineStr">
        <is>
          <t>Fonte da categoria</t>
        </is>
      </c>
      <c r="H3" t="inlineStr">
        <is>
          <t>Categoria da leitura</t>
        </is>
      </c>
      <c r="I3" t="inlineStr">
        <is>
          <t>Trafo</t>
        </is>
      </c>
      <c r="J3" t="inlineStr">
        <is>
          <t>OS</t>
        </is>
      </c>
      <c r="K3" t="inlineStr">
        <is>
          <t>Obra</t>
        </is>
      </c>
      <c r="L3" t="inlineStr">
        <is>
          <t>Abertura</t>
        </is>
      </c>
      <c r="M3" t="inlineStr">
        <is>
          <t>Término</t>
        </is>
      </c>
      <c r="N3" t="inlineStr">
        <is>
          <t>Tipo da SS</t>
        </is>
      </c>
      <c r="O3" t="inlineStr">
        <is>
          <t>Equipe</t>
        </is>
      </c>
      <c r="P3" t="inlineStr">
        <is>
          <t>Localidade</t>
        </is>
      </c>
      <c r="Q3" t="inlineStr">
        <is>
          <t>Origem da SS</t>
        </is>
      </c>
      <c r="R3" t="inlineStr">
        <is>
          <t>Defeito da SS</t>
        </is>
      </c>
      <c r="S3" t="inlineStr">
        <is>
          <t>NS retirado</t>
        </is>
      </c>
      <c r="T3" t="inlineStr">
        <is>
          <t>NS instalado</t>
        </is>
      </c>
      <c r="U3" t="inlineStr">
        <is>
          <t>Prova de troca</t>
        </is>
      </c>
      <c r="V3" t="inlineStr">
        <is>
          <t>Crítica — causa</t>
        </is>
      </c>
      <c r="W3" t="inlineStr">
        <is>
          <t>Crítica — subcausa</t>
        </is>
      </c>
      <c r="X3" t="inlineStr">
        <is>
          <t>TMAE — causa</t>
        </is>
      </c>
      <c r="Y3" t="inlineStr">
        <is>
          <t>TMAE — subcausa</t>
        </is>
      </c>
      <c r="Z3" t="inlineStr">
        <is>
          <t>No Infotrafo</t>
        </is>
      </c>
      <c r="AA3" t="inlineStr">
        <is>
          <t>Origem da leitura</t>
        </is>
      </c>
      <c r="AB3" t="inlineStr">
        <is>
          <t>Por que saiu</t>
        </is>
      </c>
      <c r="AC3" t="inlineStr">
        <is>
          <t>Texto da SS</t>
        </is>
      </c>
      <c r="AD3" t="inlineStr">
        <is>
          <t>Texto da OS</t>
        </is>
      </c>
    </row>
    <row r="4" ht="90" customHeight="1">
      <c r="A4" t="inlineStr">
        <is>
          <t>DG-RD-PO 00064/2026</t>
        </is>
      </c>
      <c r="B4" t="inlineStr">
        <is>
          <t>jan</t>
        </is>
      </c>
      <c r="C4" t="inlineStr">
        <is>
          <t>Sem interrupção comprovada</t>
        </is>
      </c>
      <c r="D4" t="inlineStr">
        <is>
          <t>Fora da janela</t>
        </is>
      </c>
      <c r="E4" t="inlineStr">
        <is>
          <t>EXPURGO</t>
        </is>
      </c>
      <c r="F4" t="inlineStr">
        <is>
          <t>QUEIMADO</t>
        </is>
      </c>
      <c r="G4" t="inlineStr">
        <is>
          <t>esteira 1.582</t>
        </is>
      </c>
      <c r="H4" t="inlineStr">
        <is>
          <t>FORA DA JANELA DA CRÍTICA</t>
        </is>
      </c>
      <c r="I4" t="n">
        <v>5711513001</v>
      </c>
      <c r="J4" t="inlineStr">
        <is>
          <t>DG-MLPO01  000016/2026</t>
        </is>
      </c>
      <c r="K4" t="n">
        <v>312600058</v>
      </c>
      <c r="L4" t="inlineStr">
        <is>
          <t>2026-01-16 03:49</t>
        </is>
      </c>
      <c r="M4" t="inlineStr">
        <is>
          <t>2026-01-16 12:25</t>
        </is>
      </c>
      <c r="N4" t="inlineStr">
        <is>
          <t>FORMS SUBST DE TRANSFORMADOR</t>
        </is>
      </c>
      <c r="O4" t="inlineStr">
        <is>
          <t>DG-RD-PO</t>
        </is>
      </c>
      <c r="P4" t="inlineStr">
        <is>
          <t>PORTO NACIONAL</t>
        </is>
      </c>
      <c r="Q4" t="inlineStr">
        <is>
          <t>AVARIADO</t>
        </is>
      </c>
      <c r="R4" t="inlineStr">
        <is>
          <t>NÃO IDENTIFICADO</t>
        </is>
      </c>
      <c r="S4" t="inlineStr">
        <is>
          <t>47057</t>
        </is>
      </c>
      <c r="T4" t="n">
        <v>1587612</v>
      </c>
      <c r="U4" t="inlineStr">
        <is>
          <t>sim</t>
        </is>
      </c>
      <c r="Z4" t="inlineStr">
        <is>
          <t>SIM</t>
        </is>
      </c>
      <c r="AA4" t="inlineStr">
        <is>
          <t>leitura caso a caso</t>
        </is>
      </c>
      <c r="AB4" t="inlineStr">
        <is>
          <t>Fora do indicador: a SS não cai na janela de nenhuma interrupção.</t>
        </is>
      </c>
      <c r="AC4"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D4" s="15" t="inlineStr">
        <is>
          <t xml:space="preserve">medido_ 
emergencial_ 
substituição de trafo queimado rdr porto 
</t>
        </is>
      </c>
    </row>
    <row r="5" ht="300" customHeight="1">
      <c r="A5" t="inlineStr">
        <is>
          <t>DOLP-RD-PA 00122/2026</t>
        </is>
      </c>
      <c r="B5" t="inlineStr">
        <is>
          <t>jan</t>
        </is>
      </c>
      <c r="C5" t="inlineStr">
        <is>
          <t>Sem interrupção comprovada</t>
        </is>
      </c>
      <c r="D5" t="inlineStr">
        <is>
          <t>Fora da janela</t>
        </is>
      </c>
      <c r="E5" t="inlineStr">
        <is>
          <t>EXPURGO</t>
        </is>
      </c>
      <c r="F5" t="inlineStr">
        <is>
          <t>QUEIMADO</t>
        </is>
      </c>
      <c r="G5" t="inlineStr">
        <is>
          <t>esteira 1.582</t>
        </is>
      </c>
      <c r="H5" t="inlineStr">
        <is>
          <t>FORA DA JANELA DA CRÍTICA</t>
        </is>
      </c>
      <c r="I5" t="n">
        <v>5710169006</v>
      </c>
      <c r="J5" t="inlineStr">
        <is>
          <t>DLP-MLPA01  000020/2026</t>
        </is>
      </c>
      <c r="K5" t="n">
        <v>112600156</v>
      </c>
      <c r="L5" t="inlineStr">
        <is>
          <t>2026-01-25 10:13</t>
        </is>
      </c>
      <c r="M5" t="inlineStr">
        <is>
          <t>2026-01-26 18:30</t>
        </is>
      </c>
      <c r="N5" t="inlineStr">
        <is>
          <t>FORMS SUBST DE TRANSFORMADOR</t>
        </is>
      </c>
      <c r="O5" t="inlineStr">
        <is>
          <t>DOLP-RD-PA</t>
        </is>
      </c>
      <c r="P5" t="inlineStr">
        <is>
          <t>TOCANTINIA</t>
        </is>
      </c>
      <c r="Q5" t="inlineStr">
        <is>
          <t>QUEIMADO</t>
        </is>
      </c>
      <c r="R5" t="inlineStr">
        <is>
          <t>NÃO IDENTIFICADO</t>
        </is>
      </c>
      <c r="S5" t="inlineStr">
        <is>
          <t>358539</t>
        </is>
      </c>
      <c r="T5" t="n">
        <v>464890</v>
      </c>
      <c r="U5" t="inlineStr">
        <is>
          <t>sim</t>
        </is>
      </c>
      <c r="Z5" t="inlineStr">
        <is>
          <t>SIM</t>
        </is>
      </c>
      <c r="AA5" t="inlineStr">
        <is>
          <t>leitura caso a caso</t>
        </is>
      </c>
      <c r="AB5" t="inlineStr">
        <is>
          <t>Fora do indicador: a Crítica registra defeito aberto neste transformador, mas em data que não cabe na janela desta SS.</t>
        </is>
      </c>
      <c r="AC5" t="inlineStr">
        <is>
          <t>segue ss de 01 trafo de 15 kvar e 01 para raio queimado da rede de 34.500kv para ser subistituido pela equipe de manutencão cliente penalizado 01 equipe que atendeu 006op01 cel, 63992363662/992379486 acesso livre favor agilizar o atendimento</t>
        </is>
      </c>
      <c r="AD5" s="15" t="inlineStr">
        <is>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is>
      </c>
    </row>
    <row r="6" ht="315" customHeight="1">
      <c r="A6" t="inlineStr">
        <is>
          <t>DOLP-RD-PA 00124/2026</t>
        </is>
      </c>
      <c r="B6" t="inlineStr">
        <is>
          <t>jan</t>
        </is>
      </c>
      <c r="C6" t="inlineStr">
        <is>
          <t>Sem interrupção comprovada</t>
        </is>
      </c>
      <c r="D6" t="inlineStr">
        <is>
          <t>Fora da janela</t>
        </is>
      </c>
      <c r="E6" t="inlineStr">
        <is>
          <t>EXPURGO</t>
        </is>
      </c>
      <c r="F6" t="inlineStr">
        <is>
          <t>QUEIMADO</t>
        </is>
      </c>
      <c r="G6" t="inlineStr">
        <is>
          <t>esteira 1.582</t>
        </is>
      </c>
      <c r="H6" t="inlineStr">
        <is>
          <t>FORA DA JANELA DA CRÍTICA</t>
        </is>
      </c>
      <c r="I6" t="n">
        <v>5711933122</v>
      </c>
      <c r="J6" t="inlineStr">
        <is>
          <t>DLP-MLPA01  000021/2026</t>
        </is>
      </c>
      <c r="K6" t="n">
        <v>112600144</v>
      </c>
      <c r="L6" t="inlineStr">
        <is>
          <t>2026-01-25 12:35</t>
        </is>
      </c>
      <c r="M6" t="inlineStr">
        <is>
          <t>2026-01-26 16:04</t>
        </is>
      </c>
      <c r="N6" t="inlineStr">
        <is>
          <t>FORMS SUBST DE TRANSFORMADOR</t>
        </is>
      </c>
      <c r="O6" t="inlineStr">
        <is>
          <t>DOLP-RD-PA</t>
        </is>
      </c>
      <c r="P6" t="inlineStr">
        <is>
          <t>PALMAS</t>
        </is>
      </c>
      <c r="Q6" t="inlineStr">
        <is>
          <t>QUEIMADO</t>
        </is>
      </c>
      <c r="R6" t="inlineStr">
        <is>
          <t>NÃO IDENTIFICADO</t>
        </is>
      </c>
      <c r="S6" t="inlineStr">
        <is>
          <t>181042</t>
        </is>
      </c>
      <c r="T6" t="n">
        <v>799443</v>
      </c>
      <c r="U6" t="inlineStr">
        <is>
          <t>sim</t>
        </is>
      </c>
      <c r="Z6" t="inlineStr">
        <is>
          <t>SIM</t>
        </is>
      </c>
      <c r="AA6" t="inlineStr">
        <is>
          <t>leitura caso a caso</t>
        </is>
      </c>
      <c r="AB6" t="inlineStr">
        <is>
          <t>Fora do indicador: a SS não cai na janela de nenhuma interrupção.</t>
        </is>
      </c>
      <c r="AC6"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D6" s="15" t="inlineStr">
        <is>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is>
      </c>
    </row>
    <row r="7" ht="360" customHeight="1">
      <c r="A7" t="inlineStr">
        <is>
          <t>ENC-RD-PS 00008/2026</t>
        </is>
      </c>
      <c r="B7" t="inlineStr">
        <is>
          <t>jan</t>
        </is>
      </c>
      <c r="C7" t="inlineStr">
        <is>
          <t>Sem interrupção comprovada</t>
        </is>
      </c>
      <c r="D7" t="inlineStr">
        <is>
          <t>Fora da janela</t>
        </is>
      </c>
      <c r="E7" t="inlineStr">
        <is>
          <t>EXPURGO</t>
        </is>
      </c>
      <c r="F7" t="inlineStr">
        <is>
          <t>QUEIMADO</t>
        </is>
      </c>
      <c r="G7" t="inlineStr">
        <is>
          <t>esteira 1.582</t>
        </is>
      </c>
      <c r="H7" t="inlineStr">
        <is>
          <t>FORA DA JANELA DA CRÍTICA</t>
        </is>
      </c>
      <c r="I7" t="n">
        <v>5700188046</v>
      </c>
      <c r="J7" t="inlineStr">
        <is>
          <t>ENC-LMPS01  000004/2026</t>
        </is>
      </c>
      <c r="K7" t="n">
        <v>212600046</v>
      </c>
      <c r="L7" t="inlineStr">
        <is>
          <t>2026-01-03 18:05</t>
        </is>
      </c>
      <c r="M7" t="inlineStr">
        <is>
          <t>2026-01-05 00:35</t>
        </is>
      </c>
      <c r="N7" t="inlineStr">
        <is>
          <t>FORMS SUBST DE TRANSFORMADOR</t>
        </is>
      </c>
      <c r="O7" t="inlineStr">
        <is>
          <t>ENC-RD-PS</t>
        </is>
      </c>
      <c r="P7" t="inlineStr">
        <is>
          <t>NOVA ROSALANDIA</t>
        </is>
      </c>
      <c r="Q7" t="inlineStr">
        <is>
          <t>QUEIMADO</t>
        </is>
      </c>
      <c r="R7" t="inlineStr">
        <is>
          <t>DESCARGA ATMOSFÉRICA</t>
        </is>
      </c>
      <c r="S7" t="inlineStr">
        <is>
          <t>565670050</t>
        </is>
      </c>
      <c r="T7" t="n">
        <v>136158</v>
      </c>
      <c r="U7" t="inlineStr">
        <is>
          <t>sim</t>
        </is>
      </c>
      <c r="V7" t="inlineStr">
        <is>
          <t>MEIO AMBIENTE</t>
        </is>
      </c>
      <c r="W7" t="inlineStr">
        <is>
          <t>DESCARGA ATMOSFERICA</t>
        </is>
      </c>
      <c r="Z7" t="inlineStr">
        <is>
          <t>SIM</t>
        </is>
      </c>
      <c r="AA7" t="inlineStr">
        <is>
          <t>leitura caso a caso</t>
        </is>
      </c>
      <c r="AB7" t="inlineStr">
        <is>
          <t>Fora do indicador: a SS não cai na janela de nenhuma interrupção.</t>
        </is>
      </c>
      <c r="AC7" t="inlineStr">
        <is>
          <t>TR 5700188046 QUEIMADO 30KVAPARA RAIO DANIFICADO ACESSO LIVRET 34500013OP14</t>
        </is>
      </c>
      <c r="AD7" s="15" t="inlineStr">
        <is>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is>
      </c>
    </row>
    <row r="8" ht="315" customHeight="1">
      <c r="A8" t="inlineStr">
        <is>
          <t>ETO-RD-AR 00034/2026</t>
        </is>
      </c>
      <c r="B8" t="inlineStr">
        <is>
          <t>jan</t>
        </is>
      </c>
      <c r="C8" t="inlineStr">
        <is>
          <t>Sem interrupção comprovada</t>
        </is>
      </c>
      <c r="D8" t="inlineStr">
        <is>
          <t>Fora da janela</t>
        </is>
      </c>
      <c r="E8" t="inlineStr">
        <is>
          <t>EXPURGO</t>
        </is>
      </c>
      <c r="F8" t="inlineStr">
        <is>
          <t>QUEIMADO</t>
        </is>
      </c>
      <c r="G8" t="inlineStr">
        <is>
          <t>esteira 1.582</t>
        </is>
      </c>
      <c r="H8" t="inlineStr">
        <is>
          <t>FORA DA JANELA DA CRÍTICA</t>
        </is>
      </c>
      <c r="I8" t="n">
        <v>5700867040</v>
      </c>
      <c r="J8" t="inlineStr">
        <is>
          <t>ENC-MLAR05  000014/2026</t>
        </is>
      </c>
      <c r="K8" t="n">
        <v>612600051</v>
      </c>
      <c r="L8" t="inlineStr">
        <is>
          <t>2026-01-08 10:53</t>
        </is>
      </c>
      <c r="M8" t="inlineStr">
        <is>
          <t>2026-01-09 16:30</t>
        </is>
      </c>
      <c r="N8" t="inlineStr">
        <is>
          <t>FORMS SUBST DE TRANSFORMADOR</t>
        </is>
      </c>
      <c r="O8" t="inlineStr">
        <is>
          <t>ETO-RD-AR</t>
        </is>
      </c>
      <c r="P8" t="inlineStr">
        <is>
          <t>ARAGOMINAS</t>
        </is>
      </c>
      <c r="Q8" t="inlineStr">
        <is>
          <t>QUEIMADO</t>
        </is>
      </c>
      <c r="R8" t="inlineStr">
        <is>
          <t>DESCARGA ATMOSFÉRICA</t>
        </is>
      </c>
      <c r="S8" t="inlineStr">
        <is>
          <t>432082</t>
        </is>
      </c>
      <c r="U8" t="inlineStr">
        <is>
          <t>não</t>
        </is>
      </c>
      <c r="Z8" t="inlineStr">
        <is>
          <t>SIM</t>
        </is>
      </c>
      <c r="AA8" t="inlineStr">
        <is>
          <t>leitura caso a caso</t>
        </is>
      </c>
      <c r="AB8" t="inlineStr">
        <is>
          <t>Fora do indicador: a SS não cai na janela de nenhuma interrupção.</t>
        </is>
      </c>
      <c r="AC8" t="inlineStr">
        <is>
          <t>Trafo 5700867040 15kvaTensão: 19.9Equipe: 058op03Endereço: IND ASSENTAMEN P.A. REUNIDAS, 0 - LOTE 37</t>
        </is>
      </c>
      <c r="AD8" s="15"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9" ht="345" customHeight="1">
      <c r="A9" t="inlineStr">
        <is>
          <t>ETO-RD-AR 00188/2026</t>
        </is>
      </c>
      <c r="B9" t="inlineStr">
        <is>
          <t>jan</t>
        </is>
      </c>
      <c r="C9" t="inlineStr">
        <is>
          <t>Sem interrupção comprovada</t>
        </is>
      </c>
      <c r="D9" t="inlineStr">
        <is>
          <t>Fora da janela</t>
        </is>
      </c>
      <c r="E9" t="inlineStr">
        <is>
          <t>EXPURGO</t>
        </is>
      </c>
      <c r="F9" t="inlineStr">
        <is>
          <t>QUEIMADO</t>
        </is>
      </c>
      <c r="G9" t="inlineStr">
        <is>
          <t>esteira 1.582</t>
        </is>
      </c>
      <c r="H9" t="inlineStr">
        <is>
          <t>FORA DA JANELA DA CRÍTICA</t>
        </is>
      </c>
      <c r="I9" t="n">
        <v>5739688157</v>
      </c>
      <c r="J9" t="inlineStr">
        <is>
          <t>ENC-MLAR01  000075/2026</t>
        </is>
      </c>
      <c r="K9" t="n">
        <v>612600125</v>
      </c>
      <c r="L9" t="inlineStr">
        <is>
          <t>2026-01-30 11:44</t>
        </is>
      </c>
      <c r="M9" t="inlineStr">
        <is>
          <t>2026-01-30 21:00</t>
        </is>
      </c>
      <c r="N9" t="inlineStr">
        <is>
          <t>FORMS SUBST DE TRANSFORMADOR</t>
        </is>
      </c>
      <c r="O9" t="inlineStr">
        <is>
          <t>ETO-RD-AR</t>
        </is>
      </c>
      <c r="P9" t="inlineStr">
        <is>
          <t>ARAGUANA</t>
        </is>
      </c>
      <c r="Q9" t="inlineStr">
        <is>
          <t>QUEIMADO</t>
        </is>
      </c>
      <c r="R9" t="inlineStr">
        <is>
          <t>DESCARGA ATMOSFÉRICA</t>
        </is>
      </c>
      <c r="S9" t="inlineStr">
        <is>
          <t>379613</t>
        </is>
      </c>
      <c r="T9" t="n">
        <v>460390</v>
      </c>
      <c r="U9" t="inlineStr">
        <is>
          <t>sim</t>
        </is>
      </c>
      <c r="Z9" t="inlineStr">
        <is>
          <t>não</t>
        </is>
      </c>
      <c r="AA9" t="inlineStr">
        <is>
          <t>leitura caso a caso</t>
        </is>
      </c>
      <c r="AB9" t="inlineStr">
        <is>
          <t>Fora do indicador: a SS não cai na janela de nenhuma interrupção.</t>
        </is>
      </c>
      <c r="AC9" t="inlineStr">
        <is>
          <t>TRAFO QUEIMADO 5739688157 pararaio queimado acesso caminhonete</t>
        </is>
      </c>
      <c r="AD9" s="15" t="inlineStr">
        <is>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is>
      </c>
    </row>
    <row r="10" ht="330" customHeight="1">
      <c r="A10" t="inlineStr">
        <is>
          <t>ETO-RD-AR 00992/2026</t>
        </is>
      </c>
      <c r="B10" t="inlineStr">
        <is>
          <t>jun</t>
        </is>
      </c>
      <c r="C10" t="inlineStr">
        <is>
          <t>Sem interrupção comprovada</t>
        </is>
      </c>
      <c r="D10" t="inlineStr">
        <is>
          <t>Fora da janela</t>
        </is>
      </c>
      <c r="E10" t="inlineStr">
        <is>
          <t>EXPURGO</t>
        </is>
      </c>
      <c r="F10" t="inlineStr">
        <is>
          <t>QUEIMADO</t>
        </is>
      </c>
      <c r="G10" t="inlineStr">
        <is>
          <t>esteira 1.582</t>
        </is>
      </c>
      <c r="H10" t="inlineStr">
        <is>
          <t>FORA DA JANELA DA CRÍTICA</t>
        </is>
      </c>
      <c r="I10" t="n">
        <v>5710093157</v>
      </c>
      <c r="J10" t="inlineStr">
        <is>
          <t>ENC-MLAR01  000242/2026</t>
        </is>
      </c>
      <c r="K10" t="n">
        <v>612600627</v>
      </c>
      <c r="L10" t="inlineStr">
        <is>
          <t>2026-06-18 17:27</t>
        </is>
      </c>
      <c r="M10" t="inlineStr">
        <is>
          <t>2026-06-19 16:20</t>
        </is>
      </c>
      <c r="N10" t="inlineStr">
        <is>
          <t>FORMS SUBST DE TRANSFORMADOR</t>
        </is>
      </c>
      <c r="O10" t="inlineStr">
        <is>
          <t>ETO-RD-AR</t>
        </is>
      </c>
      <c r="P10" t="inlineStr">
        <is>
          <t>ARAGUANA</t>
        </is>
      </c>
      <c r="Q10" t="inlineStr">
        <is>
          <t>QUEIMADO</t>
        </is>
      </c>
      <c r="R10" t="inlineStr">
        <is>
          <t>NÃO IDENTIFICADO</t>
        </is>
      </c>
      <c r="S10" t="inlineStr">
        <is>
          <t>395690</t>
        </is>
      </c>
      <c r="U10" t="inlineStr">
        <is>
          <t>não</t>
        </is>
      </c>
      <c r="V10" t="inlineStr">
        <is>
          <t>MEIO AMBIENTE</t>
        </is>
      </c>
      <c r="W10" t="inlineStr">
        <is>
          <t>ARVORE DE PEQUENO/ MEDIO PORTE NA REDE / NA FAIXA</t>
        </is>
      </c>
      <c r="Z10" t="inlineStr">
        <is>
          <t>SIM</t>
        </is>
      </c>
      <c r="AA10" t="inlineStr">
        <is>
          <t>leitura caso a caso</t>
        </is>
      </c>
      <c r="AB10" t="inlineStr">
        <is>
          <t>Fora do indicador: a SS não cai na janela de nenhuma interrupção.</t>
        </is>
      </c>
      <c r="AC10" t="inlineStr">
        <is>
          <t>Trafo 5710093157  45kva queimadoPara-raio: QueimadoAcesso: livreEndereço: IND FAZENDA BARRA DO RIO LONTRA, 0Equipe: 030op01</t>
        </is>
      </c>
      <c r="AD10" s="15" t="inlineStr">
        <is>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is>
      </c>
    </row>
    <row r="11" ht="330" customHeight="1">
      <c r="A11" t="inlineStr">
        <is>
          <t>ETO-RD-GU 00017/2026</t>
        </is>
      </c>
      <c r="B11" t="inlineStr">
        <is>
          <t>jan</t>
        </is>
      </c>
      <c r="C11" t="inlineStr">
        <is>
          <t>Sem interrupção comprovada</t>
        </is>
      </c>
      <c r="D11" t="inlineStr">
        <is>
          <t>Fora da janela</t>
        </is>
      </c>
      <c r="E11" t="inlineStr">
        <is>
          <t>EXPURGO</t>
        </is>
      </c>
      <c r="F11" t="inlineStr">
        <is>
          <t>QUEIMADO</t>
        </is>
      </c>
      <c r="G11" t="inlineStr">
        <is>
          <t>esteira 1.582</t>
        </is>
      </c>
      <c r="H11" t="inlineStr">
        <is>
          <t>FORA DA JANELA DA CRÍTICA</t>
        </is>
      </c>
      <c r="I11" t="n">
        <v>5701363094</v>
      </c>
      <c r="J11" t="inlineStr">
        <is>
          <t>DBM-MLDB06  000006/2026</t>
        </is>
      </c>
      <c r="K11" t="n">
        <v>412600029</v>
      </c>
      <c r="L11" t="inlineStr">
        <is>
          <t>2026-01-04 15:53</t>
        </is>
      </c>
      <c r="M11" t="inlineStr">
        <is>
          <t>2026-01-05 18:15</t>
        </is>
      </c>
      <c r="N11" t="inlineStr">
        <is>
          <t>FORMS SUBST DE TRANSFORMADOR</t>
        </is>
      </c>
      <c r="O11" t="inlineStr">
        <is>
          <t>ETO-RD-GU</t>
        </is>
      </c>
      <c r="P11" t="inlineStr">
        <is>
          <t>PEIXE</t>
        </is>
      </c>
      <c r="Q11" t="inlineStr">
        <is>
          <t>AVARIADO</t>
        </is>
      </c>
      <c r="R11" t="inlineStr">
        <is>
          <t>BUCHA DANIFICADA</t>
        </is>
      </c>
      <c r="S11" t="inlineStr">
        <is>
          <t>389568</t>
        </is>
      </c>
      <c r="T11" t="n">
        <v>802095</v>
      </c>
      <c r="U11" t="inlineStr">
        <is>
          <t>sim</t>
        </is>
      </c>
      <c r="V11" t="inlineStr">
        <is>
          <t>MEIO AMBIENTE</t>
        </is>
      </c>
      <c r="W11" t="inlineStr">
        <is>
          <t>DESCARGA ATMOSFERICA</t>
        </is>
      </c>
      <c r="X11" t="inlineStr">
        <is>
          <t>TRANSFORMADOR</t>
        </is>
      </c>
      <c r="Y11" t="inlineStr">
        <is>
          <t>FALTANDO FASE INTERNAMENTE</t>
        </is>
      </c>
      <c r="Z11" t="inlineStr">
        <is>
          <t>SIM</t>
        </is>
      </c>
      <c r="AA11" t="inlineStr">
        <is>
          <t>leitura caso a caso</t>
        </is>
      </c>
      <c r="AB11"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AC11" t="inlineStr">
        <is>
          <t>bucha secundaria queimada para raio queimado e chave fusivel com defeito 19,9kv</t>
        </is>
      </c>
      <c r="AD11" s="15" t="inlineStr">
        <is>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is>
      </c>
    </row>
    <row r="12" ht="165" customHeight="1">
      <c r="A12" t="inlineStr">
        <is>
          <t>DG-RD-PO 00158/2026</t>
        </is>
      </c>
      <c r="B12" t="inlineStr">
        <is>
          <t>fev</t>
        </is>
      </c>
      <c r="C12" t="inlineStr">
        <is>
          <t>Sem interrupção comprovada</t>
        </is>
      </c>
      <c r="D12" t="inlineStr">
        <is>
          <t>Fora da janela</t>
        </is>
      </c>
      <c r="E12" t="inlineStr">
        <is>
          <t>EXPURGO</t>
        </is>
      </c>
      <c r="F12" t="inlineStr">
        <is>
          <t>QUEIMADO</t>
        </is>
      </c>
      <c r="G12" t="inlineStr">
        <is>
          <t>esteira 1.582</t>
        </is>
      </c>
      <c r="H12" t="inlineStr">
        <is>
          <t>FORA DA JANELA DA CRÍTICA</t>
        </is>
      </c>
      <c r="I12" t="n">
        <v>5710045026</v>
      </c>
      <c r="J12" t="inlineStr">
        <is>
          <t>DG-MLPO01  000035/2026</t>
        </is>
      </c>
      <c r="K12" t="n">
        <v>312600123</v>
      </c>
      <c r="L12" t="inlineStr">
        <is>
          <t>2026-02-03 21:03</t>
        </is>
      </c>
      <c r="M12" t="inlineStr">
        <is>
          <t>2026-02-04 20:50</t>
        </is>
      </c>
      <c r="N12" t="inlineStr">
        <is>
          <t>FORMS SUBST DE TRANSFORMADOR</t>
        </is>
      </c>
      <c r="O12" t="inlineStr">
        <is>
          <t>DG-RD-PO</t>
        </is>
      </c>
      <c r="P12" t="inlineStr">
        <is>
          <t>PONTE ALTA DO TOCANTINS</t>
        </is>
      </c>
      <c r="Q12" t="inlineStr">
        <is>
          <t>QUEIMADO</t>
        </is>
      </c>
      <c r="R12" t="inlineStr">
        <is>
          <t>DESCARGA ATMOSFÉRICA</t>
        </is>
      </c>
      <c r="S12" t="inlineStr">
        <is>
          <t>371259</t>
        </is>
      </c>
      <c r="T12" t="n">
        <v>472337</v>
      </c>
      <c r="U12" t="inlineStr">
        <is>
          <t>sim</t>
        </is>
      </c>
      <c r="Z12" t="inlineStr">
        <is>
          <t>SIM</t>
        </is>
      </c>
      <c r="AA12" t="inlineStr">
        <is>
          <t>leitura caso a caso</t>
        </is>
      </c>
      <c r="AB12" t="inlineStr">
        <is>
          <t>Fora do indicador: a SS não cai na janela de nenhuma interrupção.</t>
        </is>
      </c>
      <c r="AC12" t="inlineStr">
        <is>
          <t>TR 571004502615KVATENSAO 19,9PARA RAIO DANIFICADO ACESSO LIVRE 026OP01</t>
        </is>
      </c>
      <c r="AD12" s="15" t="inlineStr">
        <is>
          <t xml:space="preserve">medido_ 
emergencial_ 
TR 5710045026 
15KVA 
TENSAO 19,9 
PARA RAIO DANIFICADO  
ACESSO LIVRE  
026OP01 
</t>
        </is>
      </c>
    </row>
    <row r="13" ht="135" customHeight="1">
      <c r="A13" t="inlineStr">
        <is>
          <t>DG-RD-PO 00160/2026</t>
        </is>
      </c>
      <c r="B13" t="inlineStr">
        <is>
          <t>fev</t>
        </is>
      </c>
      <c r="C13" t="inlineStr">
        <is>
          <t>Sem interrupção comprovada</t>
        </is>
      </c>
      <c r="D13" t="inlineStr">
        <is>
          <t>Fora da janela</t>
        </is>
      </c>
      <c r="E13" t="inlineStr">
        <is>
          <t>EXPURGO</t>
        </is>
      </c>
      <c r="F13" t="inlineStr">
        <is>
          <t>QUEIMADO</t>
        </is>
      </c>
      <c r="G13" t="inlineStr">
        <is>
          <t>esteira 1.582</t>
        </is>
      </c>
      <c r="H13" t="inlineStr">
        <is>
          <t>FORA DA JANELA DA CRÍTICA</t>
        </is>
      </c>
      <c r="I13" t="n">
        <v>5753553037</v>
      </c>
      <c r="J13" t="inlineStr">
        <is>
          <t>DG-MPDG01  000048/2026</t>
        </is>
      </c>
      <c r="K13" t="n">
        <v>312600110</v>
      </c>
      <c r="L13" t="inlineStr">
        <is>
          <t>2026-02-04 09:56</t>
        </is>
      </c>
      <c r="M13" t="inlineStr">
        <is>
          <t>2026-02-01 14:55</t>
        </is>
      </c>
      <c r="N13" t="inlineStr">
        <is>
          <t>FORMS SUBST DE TRANSFORMADOR</t>
        </is>
      </c>
      <c r="O13" t="inlineStr">
        <is>
          <t>DG-RD-PO</t>
        </is>
      </c>
      <c r="P13" t="inlineStr">
        <is>
          <t>BREJINHO DE NAZARE</t>
        </is>
      </c>
      <c r="Q13" t="inlineStr">
        <is>
          <t>QUEIMADO</t>
        </is>
      </c>
      <c r="R13" t="inlineStr">
        <is>
          <t>DESCARGA ATMOSFÉRICA</t>
        </is>
      </c>
      <c r="S13" t="inlineStr">
        <is>
          <t>221122</t>
        </is>
      </c>
      <c r="T13" t="n">
        <v>1657795</v>
      </c>
      <c r="U13" t="inlineStr">
        <is>
          <t>sim</t>
        </is>
      </c>
      <c r="Z13" t="inlineStr">
        <is>
          <t>SIM</t>
        </is>
      </c>
      <c r="AA13" t="inlineStr">
        <is>
          <t>leitura caso a caso</t>
        </is>
      </c>
      <c r="AB13" t="inlineStr">
        <is>
          <t>Fora do indicador: a SS não cai na janela de nenhuma interrupção.</t>
        </is>
      </c>
      <c r="AC13" t="inlineStr">
        <is>
          <t>TRAFO 5753553037 E PARA RAIO QUEIMADO POTENCIA: 75KVA 34500ACESSO: LIVRE</t>
        </is>
      </c>
      <c r="AD13" s="15" t="inlineStr">
        <is>
          <t xml:space="preserve">medido_ 
emergencial_ 
TRAFO 5753553037 E PARA RAIO QUEIMADO  
POTENCIA: 75KVA 34500 
ACESSO: LIVRE 
</t>
        </is>
      </c>
    </row>
    <row r="14" ht="90" customHeight="1">
      <c r="A14" t="inlineStr">
        <is>
          <t>DG-RD-PO 00178/2026</t>
        </is>
      </c>
      <c r="B14" t="inlineStr">
        <is>
          <t>fev</t>
        </is>
      </c>
      <c r="C14" t="inlineStr">
        <is>
          <t>Sem interrupção comprovada</t>
        </is>
      </c>
      <c r="D14" t="inlineStr">
        <is>
          <t>Fora da janela</t>
        </is>
      </c>
      <c r="E14" t="inlineStr">
        <is>
          <t>EXPURGO</t>
        </is>
      </c>
      <c r="F14" t="inlineStr">
        <is>
          <t>QUEIMADO</t>
        </is>
      </c>
      <c r="G14" t="inlineStr">
        <is>
          <t>esteira 1.582</t>
        </is>
      </c>
      <c r="H14" t="inlineStr">
        <is>
          <t>FORA DA JANELA DA CRÍTICA</t>
        </is>
      </c>
      <c r="I14" t="n">
        <v>5700861026</v>
      </c>
      <c r="J14" t="inlineStr">
        <is>
          <t>DG-MLPO02  000041/2026</t>
        </is>
      </c>
      <c r="K14" t="n">
        <v>312600161</v>
      </c>
      <c r="L14" t="inlineStr">
        <is>
          <t>2026-02-11 23:46</t>
        </is>
      </c>
      <c r="M14" t="inlineStr">
        <is>
          <t>2026-02-12 18:43</t>
        </is>
      </c>
      <c r="N14" t="inlineStr">
        <is>
          <t>FORMS SUBST DE TRANSFORMADOR</t>
        </is>
      </c>
      <c r="O14" t="inlineStr">
        <is>
          <t>DG-RD-PO</t>
        </is>
      </c>
      <c r="P14" t="inlineStr">
        <is>
          <t>PONTE ALTA DO TOCANTINS</t>
        </is>
      </c>
      <c r="Q14" t="inlineStr">
        <is>
          <t>QUEIMADO</t>
        </is>
      </c>
      <c r="R14" t="inlineStr">
        <is>
          <t>DESCARGA ATMOSFÉRICA</t>
        </is>
      </c>
      <c r="S14" t="inlineStr">
        <is>
          <t>184945</t>
        </is>
      </c>
      <c r="T14" t="n">
        <v>339337</v>
      </c>
      <c r="U14" t="inlineStr">
        <is>
          <t>sim</t>
        </is>
      </c>
      <c r="Z14" t="inlineStr">
        <is>
          <t>SIM</t>
        </is>
      </c>
      <c r="AA14" t="inlineStr">
        <is>
          <t>leitura caso a caso</t>
        </is>
      </c>
      <c r="AB14" t="inlineStr">
        <is>
          <t>Fora do indicador: a SS não cai na janela de nenhuma interrupção.</t>
        </is>
      </c>
      <c r="AC14" t="inlineStr">
        <is>
          <t>Trafo 5700861026 de 15kva e para-raio queimado, Tensão 19,9kv, Acesso para camionete 4x, Rural de Ponte Alta, faz. IND FAZENDA PRODUCAO, 0 - LPT-14877 FAZ PRODUCAO</t>
        </is>
      </c>
      <c r="AD14" s="15" t="inlineStr">
        <is>
          <t xml:space="preserve">medido_ 
emergencial_ 
substituição de trafo queimado rdr ponte alta 
</t>
        </is>
      </c>
    </row>
    <row r="15" ht="255" customHeight="1">
      <c r="A15" t="inlineStr">
        <is>
          <t>DOLP-RD-PA 00177/2026</t>
        </is>
      </c>
      <c r="B15" t="inlineStr">
        <is>
          <t>fev</t>
        </is>
      </c>
      <c r="C15" t="inlineStr">
        <is>
          <t>Sem interrupção comprovada</t>
        </is>
      </c>
      <c r="D15" t="inlineStr">
        <is>
          <t>Fora da janela</t>
        </is>
      </c>
      <c r="E15" t="inlineStr">
        <is>
          <t>EXPURGO</t>
        </is>
      </c>
      <c r="F15" t="inlineStr">
        <is>
          <t>QUEIMADO</t>
        </is>
      </c>
      <c r="G15" t="inlineStr">
        <is>
          <t>esteira 1.582</t>
        </is>
      </c>
      <c r="H15" t="inlineStr">
        <is>
          <t>FORA DA JANELA DA CRÍTICA</t>
        </is>
      </c>
      <c r="I15" t="n">
        <v>5755307026</v>
      </c>
      <c r="J15" t="inlineStr">
        <is>
          <t>DLP-MLPA01  000032/2026</t>
        </is>
      </c>
      <c r="K15" t="n">
        <v>112600258</v>
      </c>
      <c r="L15" t="inlineStr">
        <is>
          <t>2026-02-03 08:31</t>
        </is>
      </c>
      <c r="M15" t="inlineStr">
        <is>
          <t>2026-02-01 12:00</t>
        </is>
      </c>
      <c r="N15" t="inlineStr">
        <is>
          <t>FORMS SUBST DE TRANSFORMADOR</t>
        </is>
      </c>
      <c r="O15" t="inlineStr">
        <is>
          <t>DOLP-RD-PA</t>
        </is>
      </c>
      <c r="P15" t="inlineStr">
        <is>
          <t>PONTE ALTA DO TOCANTINS</t>
        </is>
      </c>
      <c r="Q15" t="inlineStr">
        <is>
          <t>QUEIMADO</t>
        </is>
      </c>
      <c r="R15" t="inlineStr">
        <is>
          <t>DESCARGA ATMOSFÉRICA</t>
        </is>
      </c>
      <c r="S15" t="inlineStr">
        <is>
          <t>1026962</t>
        </is>
      </c>
      <c r="T15" t="n">
        <v>287170</v>
      </c>
      <c r="U15" t="inlineStr">
        <is>
          <t>sim</t>
        </is>
      </c>
      <c r="Z15" t="inlineStr">
        <is>
          <t>SIM</t>
        </is>
      </c>
      <c r="AA15" t="inlineStr">
        <is>
          <t>leitura caso a caso</t>
        </is>
      </c>
      <c r="AB15" t="inlineStr">
        <is>
          <t>Fora do indicador: a SS não cai na janela de nenhuma interrupção.</t>
        </is>
      </c>
      <c r="AC15" t="inlineStr">
        <is>
          <t>Segundo informações da equipe 026OP03, o 5755307026 de 15kVA, tensão 19.9V, para raio está ok, acesso livre somente pra caminhonete.</t>
        </is>
      </c>
      <c r="AD15" s="15"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16" ht="345" customHeight="1">
      <c r="A16" t="inlineStr">
        <is>
          <t>ETO-RD-AR 00204/2026</t>
        </is>
      </c>
      <c r="B16" t="inlineStr">
        <is>
          <t>fev</t>
        </is>
      </c>
      <c r="C16" t="inlineStr">
        <is>
          <t>Sem interrupção comprovada</t>
        </is>
      </c>
      <c r="D16" t="inlineStr">
        <is>
          <t>Fora da janela</t>
        </is>
      </c>
      <c r="E16" t="inlineStr">
        <is>
          <t>EXPURGO</t>
        </is>
      </c>
      <c r="F16" t="inlineStr">
        <is>
          <t>QUEIMADO</t>
        </is>
      </c>
      <c r="G16" t="inlineStr">
        <is>
          <t>esteira 1.582</t>
        </is>
      </c>
      <c r="H16" t="inlineStr">
        <is>
          <t>FORA DA JANELA DA CRÍTICA</t>
        </is>
      </c>
      <c r="I16" t="n">
        <v>5723118030</v>
      </c>
      <c r="J16" t="inlineStr">
        <is>
          <t>ENC-MLAR02  000018/2026</t>
        </is>
      </c>
      <c r="K16" t="n">
        <v>612600132</v>
      </c>
      <c r="L16" t="inlineStr">
        <is>
          <t>2026-02-02 07:07</t>
        </is>
      </c>
      <c r="M16" t="inlineStr">
        <is>
          <t>2026-01-31 19:26</t>
        </is>
      </c>
      <c r="N16" t="inlineStr">
        <is>
          <t>FORMS SUBST DE TRANSFORMADOR</t>
        </is>
      </c>
      <c r="O16" t="inlineStr">
        <is>
          <t>ETO-RD-AR</t>
        </is>
      </c>
      <c r="P16" t="inlineStr">
        <is>
          <t>XAMBIOA</t>
        </is>
      </c>
      <c r="Q16" t="inlineStr">
        <is>
          <t>QUEIMADO</t>
        </is>
      </c>
      <c r="R16" t="inlineStr">
        <is>
          <t>SOBRECARGA</t>
        </is>
      </c>
      <c r="S16" t="inlineStr">
        <is>
          <t>965782</t>
        </is>
      </c>
      <c r="T16" t="n">
        <v>820232</v>
      </c>
      <c r="U16" t="inlineStr">
        <is>
          <t>sim</t>
        </is>
      </c>
      <c r="Z16" t="inlineStr">
        <is>
          <t>SIM</t>
        </is>
      </c>
      <c r="AA16" t="inlineStr">
        <is>
          <t>leitura caso a caso</t>
        </is>
      </c>
      <c r="AB16" t="inlineStr">
        <is>
          <t>Fora do indicador: a SS não cai na janela de nenhuma interrupção.</t>
        </is>
      </c>
      <c r="AC16" t="inlineStr">
        <is>
          <t>EQUIPE 030OP01TRAFO QUEIMADO 5723118030 potencia 10KVA tensão 34.5KV E RECUPERAR  BT ROMPIDAACESSO CAMINHONETE</t>
        </is>
      </c>
      <c r="AD16" s="15" t="inlineStr">
        <is>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is>
      </c>
    </row>
    <row r="17" ht="375" customHeight="1">
      <c r="A17" t="inlineStr">
        <is>
          <t>ETO-RD-AR 00268/2026</t>
        </is>
      </c>
      <c r="B17" t="inlineStr">
        <is>
          <t>fev</t>
        </is>
      </c>
      <c r="C17" t="inlineStr">
        <is>
          <t>Sem interrupção comprovada</t>
        </is>
      </c>
      <c r="D17" t="inlineStr">
        <is>
          <t>Fora da janela</t>
        </is>
      </c>
      <c r="E17" t="inlineStr">
        <is>
          <t>EXPURGO</t>
        </is>
      </c>
      <c r="F17" t="inlineStr">
        <is>
          <t>QUEIMADO</t>
        </is>
      </c>
      <c r="G17" t="inlineStr">
        <is>
          <t>esteira 1.582</t>
        </is>
      </c>
      <c r="H17" t="inlineStr">
        <is>
          <t>FORA DA JANELA DA CRÍTICA</t>
        </is>
      </c>
      <c r="I17" t="n">
        <v>5700382016</v>
      </c>
      <c r="J17" t="inlineStr">
        <is>
          <t>ENC-MLAR01  000077/2026</t>
        </is>
      </c>
      <c r="K17" t="n">
        <v>612600167</v>
      </c>
      <c r="L17" t="inlineStr">
        <is>
          <t>2026-02-08 11:20</t>
        </is>
      </c>
      <c r="M17" t="inlineStr">
        <is>
          <t>2026-02-09 18:35</t>
        </is>
      </c>
      <c r="N17" t="inlineStr">
        <is>
          <t>FORMS SUBST DE TRANSFORMADOR</t>
        </is>
      </c>
      <c r="O17" t="inlineStr">
        <is>
          <t>ETO-RD-AR</t>
        </is>
      </c>
      <c r="P17" t="inlineStr">
        <is>
          <t>WANDERLANDIA</t>
        </is>
      </c>
      <c r="Q17" t="inlineStr">
        <is>
          <t>QUEIMADO</t>
        </is>
      </c>
      <c r="R17" t="inlineStr">
        <is>
          <t>DESCARGA ATMOSFÉRICA</t>
        </is>
      </c>
      <c r="S17" t="inlineStr">
        <is>
          <t>179561</t>
        </is>
      </c>
      <c r="T17" t="n">
        <v>820183</v>
      </c>
      <c r="U17" t="inlineStr">
        <is>
          <t>sim</t>
        </is>
      </c>
      <c r="Z17" t="inlineStr">
        <is>
          <t>SIM</t>
        </is>
      </c>
      <c r="AA17" t="inlineStr">
        <is>
          <t>leitura caso a caso</t>
        </is>
      </c>
      <c r="AB17" t="inlineStr">
        <is>
          <t>Fora do indicador: a SS não cai na janela de nenhuma interrupção.</t>
        </is>
      </c>
      <c r="AC17" t="inlineStr">
        <is>
          <t>trafo queimado, caiu uma descarga no mesmo pararaio queimado</t>
        </is>
      </c>
      <c r="AD17" s="15" t="inlineStr">
        <is>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is>
      </c>
    </row>
    <row r="18" ht="90" customHeight="1">
      <c r="A18" t="inlineStr">
        <is>
          <t>ETO-RD-GR 00238/2026</t>
        </is>
      </c>
      <c r="B18" t="inlineStr">
        <is>
          <t>fev</t>
        </is>
      </c>
      <c r="C18" t="inlineStr">
        <is>
          <t>Sem interrupção comprovada</t>
        </is>
      </c>
      <c r="D18" t="inlineStr">
        <is>
          <t>Fora da janela</t>
        </is>
      </c>
      <c r="E18" t="inlineStr">
        <is>
          <t>EXPURGO</t>
        </is>
      </c>
      <c r="F18" t="inlineStr">
        <is>
          <t>QUEIMADO</t>
        </is>
      </c>
      <c r="G18" t="inlineStr">
        <is>
          <t>esteira 1.582</t>
        </is>
      </c>
      <c r="H18" t="inlineStr">
        <is>
          <t>FORA DA JANELA DA CRÍTICA</t>
        </is>
      </c>
      <c r="I18" t="n">
        <v>5710058153</v>
      </c>
      <c r="J18" t="inlineStr">
        <is>
          <t>ETO-RD-GR  000311/2026</t>
        </is>
      </c>
      <c r="K18" t="n">
        <v>712600155</v>
      </c>
      <c r="L18" t="inlineStr">
        <is>
          <t>2026-02-16 12:35</t>
        </is>
      </c>
      <c r="M18" t="inlineStr">
        <is>
          <t>2026-02-17 20:56</t>
        </is>
      </c>
      <c r="N18" t="inlineStr">
        <is>
          <t>FORMS SUBST DE TRANSFORMADOR</t>
        </is>
      </c>
      <c r="O18" t="inlineStr">
        <is>
          <t>ETO-RD-GR</t>
        </is>
      </c>
      <c r="P18" t="inlineStr">
        <is>
          <t>BERNARDO SAYAO</t>
        </is>
      </c>
      <c r="Q18" t="inlineStr">
        <is>
          <t>QUEIMADO</t>
        </is>
      </c>
      <c r="R18" t="inlineStr">
        <is>
          <t>DESCARGA ATMOSFÉRICA</t>
        </is>
      </c>
      <c r="U18" t="inlineStr">
        <is>
          <t>não</t>
        </is>
      </c>
      <c r="Z18" t="inlineStr">
        <is>
          <t>SIM</t>
        </is>
      </c>
      <c r="AA18" t="inlineStr">
        <is>
          <t>leitura caso a caso</t>
        </is>
      </c>
      <c r="AB18" t="inlineStr">
        <is>
          <t>Fora do indicador: a SS não cai na janela de nenhuma interrupção.</t>
        </is>
      </c>
      <c r="AC18" t="inlineStr">
        <is>
          <t>TR-5710058153 Queimadopara raios QUEIMADO potência 15kvatensão 34,5kvacesso CAMINHONETEequipe 025op01 tel-63992452770</t>
        </is>
      </c>
      <c r="AD18" s="15" t="inlineStr">
        <is>
          <t>TR-5710058153 Queimado 
para raios QUEIMADO  
potência 15kva 
tensão 34,5kv 
acesso CAMINHONETE 
equipe 025op01 tel-63992452770</t>
        </is>
      </c>
    </row>
    <row r="19" ht="360" customHeight="1">
      <c r="A19" t="inlineStr">
        <is>
          <t>DOLP-RD-PA 00338/2026</t>
        </is>
      </c>
      <c r="B19" t="inlineStr">
        <is>
          <t>mar</t>
        </is>
      </c>
      <c r="C19" t="inlineStr">
        <is>
          <t>Sem interrupção comprovada</t>
        </is>
      </c>
      <c r="D19" t="inlineStr">
        <is>
          <t>Fora da janela</t>
        </is>
      </c>
      <c r="E19" t="inlineStr">
        <is>
          <t>EXPURGO</t>
        </is>
      </c>
      <c r="F19" t="inlineStr">
        <is>
          <t>QUEIMADO</t>
        </is>
      </c>
      <c r="G19" t="inlineStr">
        <is>
          <t>esteira 1.582</t>
        </is>
      </c>
      <c r="H19" t="inlineStr">
        <is>
          <t>FORA DA JANELA DA CRÍTICA</t>
        </is>
      </c>
      <c r="I19" t="n">
        <v>5704202122</v>
      </c>
      <c r="J19" t="inlineStr">
        <is>
          <t>DLP-MPPA01  000086/2026</t>
        </is>
      </c>
      <c r="K19" t="n">
        <v>112600587</v>
      </c>
      <c r="L19" t="inlineStr">
        <is>
          <t>2026-03-10 16:17</t>
        </is>
      </c>
      <c r="M19" t="inlineStr">
        <is>
          <t>2026-03-23 08:50</t>
        </is>
      </c>
      <c r="N19" t="inlineStr">
        <is>
          <t>AVISO DE ANOMALIA</t>
        </is>
      </c>
      <c r="O19" t="inlineStr">
        <is>
          <t>DOLP-RD-PA</t>
        </is>
      </c>
      <c r="P19" t="inlineStr">
        <is>
          <t>PALMAS</t>
        </is>
      </c>
      <c r="Q19" t="inlineStr">
        <is>
          <t>QUEIMADO</t>
        </is>
      </c>
      <c r="R19" t="inlineStr">
        <is>
          <t>BUCHA DANIFICADA</t>
        </is>
      </c>
      <c r="S19" t="inlineStr">
        <is>
          <t>238663</t>
        </is>
      </c>
      <c r="T19" t="n">
        <v>267955</v>
      </c>
      <c r="U19" t="inlineStr">
        <is>
          <t>sim</t>
        </is>
      </c>
      <c r="Z19" t="inlineStr">
        <is>
          <t>não</t>
        </is>
      </c>
      <c r="AA19" t="inlineStr">
        <is>
          <t>leitura caso a caso</t>
        </is>
      </c>
      <c r="AB19" t="inlineStr">
        <is>
          <t>Fora do indicador: a SS não cai na janela de nenhuma interrupção.</t>
        </is>
      </c>
      <c r="AC19" t="inlineStr">
        <is>
          <t>Segue esse para substituição de TF queimado (bucha do TF) 5704202122ID: 50688272</t>
        </is>
      </c>
      <c r="AD19" s="15"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20" ht="390" customHeight="1">
      <c r="A20" t="inlineStr">
        <is>
          <t>ENC-RD-PS 00376/2026</t>
        </is>
      </c>
      <c r="B20" t="inlineStr">
        <is>
          <t>mar</t>
        </is>
      </c>
      <c r="C20" t="inlineStr">
        <is>
          <t>Sem interrupção comprovada</t>
        </is>
      </c>
      <c r="D20" t="inlineStr">
        <is>
          <t>Fora da janela</t>
        </is>
      </c>
      <c r="E20" t="inlineStr">
        <is>
          <t>EXPURGO</t>
        </is>
      </c>
      <c r="F20" t="inlineStr">
        <is>
          <t>QUEIMADO</t>
        </is>
      </c>
      <c r="G20" t="inlineStr">
        <is>
          <t>esteira 1.582</t>
        </is>
      </c>
      <c r="H20" t="inlineStr">
        <is>
          <t>FORA DA JANELA DA CRÍTICA</t>
        </is>
      </c>
      <c r="I20" t="n">
        <v>5700368012</v>
      </c>
      <c r="J20" t="inlineStr">
        <is>
          <t>ENC-LMPS04  000055/2026</t>
        </is>
      </c>
      <c r="K20" t="n">
        <v>212600335</v>
      </c>
      <c r="L20" t="inlineStr">
        <is>
          <t>2026-03-20 18:48</t>
        </is>
      </c>
      <c r="M20" t="inlineStr">
        <is>
          <t>2026-03-21 12:00</t>
        </is>
      </c>
      <c r="N20" t="inlineStr">
        <is>
          <t>FORMS SUBST DE TRANSFORMADOR</t>
        </is>
      </c>
      <c r="O20" t="inlineStr">
        <is>
          <t>ENC-RD-PS</t>
        </is>
      </c>
      <c r="P20" t="inlineStr">
        <is>
          <t>DIVINOPOLIS DO TOCANTINS</t>
        </is>
      </c>
      <c r="Q20" t="inlineStr">
        <is>
          <t>QUEIMADO</t>
        </is>
      </c>
      <c r="R20" t="inlineStr">
        <is>
          <t>DESCARGA ATMOSFÉRICA</t>
        </is>
      </c>
      <c r="S20" t="inlineStr">
        <is>
          <t>473642</t>
        </is>
      </c>
      <c r="T20" t="n">
        <v>828112</v>
      </c>
      <c r="U20" t="inlineStr">
        <is>
          <t>sim</t>
        </is>
      </c>
      <c r="Z20" t="inlineStr">
        <is>
          <t>SIM</t>
        </is>
      </c>
      <c r="AA20" t="inlineStr">
        <is>
          <t>leitura caso a caso</t>
        </is>
      </c>
      <c r="AB20" t="inlineStr">
        <is>
          <t>Fora do indicador: a SS não cai na janela de nenhuma interrupção.</t>
        </is>
      </c>
      <c r="AC20" t="inlineStr">
        <is>
          <t>Segue ss para tratativa com equipe de manutençao o quanto antessubstituir trafo 5700368012 queimado na rdr de divinopoles</t>
        </is>
      </c>
      <c r="AD20" s="15" t="inlineStr">
        <is>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is>
      </c>
    </row>
    <row r="21" ht="360" customHeight="1">
      <c r="A21" t="inlineStr">
        <is>
          <t>ENC-RD-PS 00601/2026</t>
        </is>
      </c>
      <c r="B21" t="inlineStr">
        <is>
          <t>jun</t>
        </is>
      </c>
      <c r="C21" t="inlineStr">
        <is>
          <t>Sem interrupção comprovada</t>
        </is>
      </c>
      <c r="D21" t="inlineStr">
        <is>
          <t>Fora da janela</t>
        </is>
      </c>
      <c r="E21" t="inlineStr">
        <is>
          <t>EXPURGO</t>
        </is>
      </c>
      <c r="F21" t="inlineStr">
        <is>
          <t>QUEIMADO</t>
        </is>
      </c>
      <c r="G21" t="inlineStr">
        <is>
          <t>esteira 1.582</t>
        </is>
      </c>
      <c r="H21" t="inlineStr">
        <is>
          <t>FORA DA JANELA DA CRÍTICA</t>
        </is>
      </c>
      <c r="I21" t="n">
        <v>5753306085</v>
      </c>
      <c r="J21" t="inlineStr">
        <is>
          <t>ENC-LMPS01  000152/2026</t>
        </is>
      </c>
      <c r="K21" t="n">
        <v>212600554</v>
      </c>
      <c r="L21" t="inlineStr">
        <is>
          <t>2026-06-24 12:13</t>
        </is>
      </c>
      <c r="M21" t="inlineStr">
        <is>
          <t>2026-06-25 12:55</t>
        </is>
      </c>
      <c r="N21" t="inlineStr">
        <is>
          <t>FORMS SUBST DE TRANSFORMADOR</t>
        </is>
      </c>
      <c r="O21" t="inlineStr">
        <is>
          <t>ENC-RD-PS</t>
        </is>
      </c>
      <c r="P21" t="inlineStr">
        <is>
          <t>MONTE SANTO DO TOCANTINS</t>
        </is>
      </c>
      <c r="Q21" t="inlineStr">
        <is>
          <t>QUEIMADO</t>
        </is>
      </c>
      <c r="R21" t="inlineStr">
        <is>
          <t>SOBRECARGA</t>
        </is>
      </c>
      <c r="S21" t="inlineStr">
        <is>
          <t>182924</t>
        </is>
      </c>
      <c r="T21" t="n">
        <v>602384</v>
      </c>
      <c r="U21" t="inlineStr">
        <is>
          <t>sim</t>
        </is>
      </c>
      <c r="Z21" t="inlineStr">
        <is>
          <t>SIM</t>
        </is>
      </c>
      <c r="AA21" t="inlineStr">
        <is>
          <t>leitura caso a caso</t>
        </is>
      </c>
      <c r="AB21" t="inlineStr">
        <is>
          <t>Fora do indicador: a Crítica registra defeito aberto neste transformador, mas em data que não cabe na janela desta SS.</t>
        </is>
      </c>
      <c r="AC21" t="inlineStr">
        <is>
          <t>TRAFO QUEIMADO  5753306085 30KVA 34,5KV, QUE ATENDE GARIMPO. CARGAS A REVELIA</t>
        </is>
      </c>
      <c r="AD21" s="15" t="inlineStr">
        <is>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is>
      </c>
    </row>
    <row r="22" ht="330" customHeight="1">
      <c r="A22" t="inlineStr">
        <is>
          <t>ETO-RD-AR 00551/2026</t>
        </is>
      </c>
      <c r="B22" t="inlineStr">
        <is>
          <t>mar</t>
        </is>
      </c>
      <c r="C22" t="inlineStr">
        <is>
          <t>Sem interrupção comprovada</t>
        </is>
      </c>
      <c r="D22" t="inlineStr">
        <is>
          <t>Fora da janela</t>
        </is>
      </c>
      <c r="E22" t="inlineStr">
        <is>
          <t>EXPURGO</t>
        </is>
      </c>
      <c r="F22" t="inlineStr">
        <is>
          <t>QUEIMADO</t>
        </is>
      </c>
      <c r="G22" t="inlineStr">
        <is>
          <t>esteira 1.582</t>
        </is>
      </c>
      <c r="H22" t="inlineStr">
        <is>
          <t>FORA DA JANELA DA CRÍTICA</t>
        </is>
      </c>
      <c r="I22" t="n">
        <v>5700322060</v>
      </c>
      <c r="J22" t="inlineStr">
        <is>
          <t>ENC-MLAR01  000152/2026</t>
        </is>
      </c>
      <c r="K22" t="n">
        <v>612600337</v>
      </c>
      <c r="L22" t="inlineStr">
        <is>
          <t>2026-03-24 17:26</t>
        </is>
      </c>
      <c r="M22" t="inlineStr">
        <is>
          <t>2026-03-25 12:10</t>
        </is>
      </c>
      <c r="N22" t="inlineStr">
        <is>
          <t>FORMS SUBST DE TRANSFORMADOR</t>
        </is>
      </c>
      <c r="O22" t="inlineStr">
        <is>
          <t>ETO-RD-AR</t>
        </is>
      </c>
      <c r="P22" t="inlineStr">
        <is>
          <t>NOVA OLINDA</t>
        </is>
      </c>
      <c r="Q22" t="inlineStr">
        <is>
          <t>QUEIMADO</t>
        </is>
      </c>
      <c r="R22" t="inlineStr">
        <is>
          <t>NÃO IDENTIFICADO</t>
        </is>
      </c>
      <c r="S22" t="inlineStr">
        <is>
          <t>178008</t>
        </is>
      </c>
      <c r="U22" t="inlineStr">
        <is>
          <t>não</t>
        </is>
      </c>
      <c r="Z22" t="inlineStr">
        <is>
          <t>SIM</t>
        </is>
      </c>
      <c r="AA22" t="inlineStr">
        <is>
          <t>leitura caso a caso</t>
        </is>
      </c>
      <c r="AB22" t="inlineStr">
        <is>
          <t>Fora do indicador: a SS não cai na janela de nenhuma interrupção.</t>
        </is>
      </c>
      <c r="AC22" t="inlineStr">
        <is>
          <t>SEGUE SS DE TRAFO QUEIMADO NA RDR DE NOVA OLINDA, TRAFO DE 15KVA NA REDE DE 7.8KV, PARA RAIO QUEIMADO E ACESSO LIVRE.</t>
        </is>
      </c>
      <c r="AD22" s="15" t="inlineStr">
        <is>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is>
      </c>
    </row>
    <row r="23" ht="330" customHeight="1">
      <c r="A23" t="inlineStr">
        <is>
          <t>ETO-RD-AR 00583/2026</t>
        </is>
      </c>
      <c r="B23" t="inlineStr">
        <is>
          <t>mar</t>
        </is>
      </c>
      <c r="C23" t="inlineStr">
        <is>
          <t>Sem interrupção comprovada</t>
        </is>
      </c>
      <c r="D23" t="inlineStr">
        <is>
          <t>Fora da janela</t>
        </is>
      </c>
      <c r="E23" t="inlineStr">
        <is>
          <t>EXPURGO</t>
        </is>
      </c>
      <c r="F23" t="inlineStr">
        <is>
          <t>QUEIMADO</t>
        </is>
      </c>
      <c r="G23" t="inlineStr">
        <is>
          <t>esteira 1.582</t>
        </is>
      </c>
      <c r="H23" t="inlineStr">
        <is>
          <t>FORA DA JANELA DA CRÍTICA</t>
        </is>
      </c>
      <c r="I23" t="n">
        <v>5700799193</v>
      </c>
      <c r="J23" t="inlineStr">
        <is>
          <t>ENC-MLAR03  000036/2026</t>
        </is>
      </c>
      <c r="K23" t="n">
        <v>612600363</v>
      </c>
      <c r="L23" t="inlineStr">
        <is>
          <t>2026-03-31 20:47</t>
        </is>
      </c>
      <c r="M23" t="inlineStr">
        <is>
          <t>2026-04-01 18:43</t>
        </is>
      </c>
      <c r="N23" t="inlineStr">
        <is>
          <t>FORMS SUBST DE TRANSFORMADOR</t>
        </is>
      </c>
      <c r="O23" t="inlineStr">
        <is>
          <t>ETO-RD-AR</t>
        </is>
      </c>
      <c r="P23" t="inlineStr">
        <is>
          <t>CAMPOS LINDOS</t>
        </is>
      </c>
      <c r="Q23" t="inlineStr">
        <is>
          <t>QUEIMADO</t>
        </is>
      </c>
      <c r="R23" t="inlineStr">
        <is>
          <t>DESCARGA ATMOSFÉRICA</t>
        </is>
      </c>
      <c r="S23" t="inlineStr">
        <is>
          <t>179110</t>
        </is>
      </c>
      <c r="T23" t="n">
        <v>827956</v>
      </c>
      <c r="U23" t="inlineStr">
        <is>
          <t>sim</t>
        </is>
      </c>
      <c r="Z23" t="inlineStr">
        <is>
          <t>SIM</t>
        </is>
      </c>
      <c r="AA23" t="inlineStr">
        <is>
          <t>leitura caso a caso</t>
        </is>
      </c>
      <c r="AB23" t="inlineStr">
        <is>
          <t>Fora do indicador: a SS não cai na janela de nenhuma interrupção.</t>
        </is>
      </c>
      <c r="AC23" t="inlineStr">
        <is>
          <t>Trafo 5700799193  15kvaPara-raio: Queimado Endereço: fazenda arueira saindo povoado RanchariaEquipe: 193op02</t>
        </is>
      </c>
      <c r="AD23" s="15" t="inlineStr">
        <is>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is>
      </c>
    </row>
    <row r="24">
      <c r="A24" t="inlineStr">
        <is>
          <t>ETO-RD-DP 00214/2026</t>
        </is>
      </c>
      <c r="B24" t="inlineStr">
        <is>
          <t>mar</t>
        </is>
      </c>
      <c r="C24" t="inlineStr">
        <is>
          <t>Sem interrupção comprovada</t>
        </is>
      </c>
      <c r="D24" t="inlineStr">
        <is>
          <t>Fora da janela</t>
        </is>
      </c>
      <c r="E24" t="inlineStr">
        <is>
          <t>EXPURGO</t>
        </is>
      </c>
      <c r="F24" t="inlineStr">
        <is>
          <t>QUEIMADO</t>
        </is>
      </c>
      <c r="G24" t="inlineStr">
        <is>
          <t>esteira 1.582</t>
        </is>
      </c>
      <c r="H24" t="inlineStr">
        <is>
          <t>FORA DA JANELA DA CRÍTICA</t>
        </is>
      </c>
      <c r="I24" t="n">
        <v>5700230116</v>
      </c>
      <c r="J24" t="inlineStr">
        <is>
          <t>ETO-MLDP01  000075/2026</t>
        </is>
      </c>
      <c r="K24" t="n">
        <v>512600126</v>
      </c>
      <c r="L24" t="inlineStr">
        <is>
          <t>2026-03-23 13:59</t>
        </is>
      </c>
      <c r="M24" t="inlineStr">
        <is>
          <t>2026-03-25 13:30</t>
        </is>
      </c>
      <c r="N24" t="inlineStr">
        <is>
          <t>FORMS SUBST DE TRANSFORMADOR</t>
        </is>
      </c>
      <c r="O24" t="inlineStr">
        <is>
          <t>ETO-RD-DP</t>
        </is>
      </c>
      <c r="P24" t="inlineStr">
        <is>
          <t>PINDORAMA DO TOCANTINS</t>
        </is>
      </c>
      <c r="Q24" t="inlineStr">
        <is>
          <t>QUEIMADO</t>
        </is>
      </c>
      <c r="R24" t="inlineStr">
        <is>
          <t>DESCARGA ATMOSFÉRICA</t>
        </is>
      </c>
      <c r="S24" t="inlineStr">
        <is>
          <t>587813</t>
        </is>
      </c>
      <c r="T24" t="n">
        <v>251616</v>
      </c>
      <c r="U24" t="inlineStr">
        <is>
          <t>sim</t>
        </is>
      </c>
      <c r="Z24" t="inlineStr">
        <is>
          <t>SIM</t>
        </is>
      </c>
      <c r="AA24" t="inlineStr">
        <is>
          <t>leitura caso a caso</t>
        </is>
      </c>
      <c r="AB24" t="inlineStr">
        <is>
          <t>Fora do indicador: a SS não cai na janela de nenhuma interrupção.</t>
        </is>
      </c>
      <c r="AC24" t="inlineStr">
        <is>
          <t>TRANSFORMADOR QUEIMADO 5700230116 5kva e para raio queimado na 19,9 acesso caminhonete  equipe 096op01 992400102</t>
        </is>
      </c>
      <c r="AD24" t="inlineStr">
        <is>
          <t>TRANSFORMADOR QUEIMADO 5700230116 5kva e para raio queimado na 19,9 acesso caminhonete  equipe 096op01 992400102</t>
        </is>
      </c>
    </row>
    <row r="25" ht="120" customHeight="1">
      <c r="A25" t="inlineStr">
        <is>
          <t>DOLP-RD-PA 00643/2026</t>
        </is>
      </c>
      <c r="B25" t="inlineStr">
        <is>
          <t>jun</t>
        </is>
      </c>
      <c r="C25" t="inlineStr">
        <is>
          <t>Sem interrupção comprovada</t>
        </is>
      </c>
      <c r="D25" t="inlineStr">
        <is>
          <t>Fora da janela</t>
        </is>
      </c>
      <c r="E25" t="inlineStr">
        <is>
          <t>EXPURGO</t>
        </is>
      </c>
      <c r="F25" t="inlineStr">
        <is>
          <t>QUEIMADO</t>
        </is>
      </c>
      <c r="G25" t="inlineStr">
        <is>
          <t>esteira 1.582</t>
        </is>
      </c>
      <c r="H25" t="inlineStr">
        <is>
          <t>FORA DA JANELA DA CRÍTICA</t>
        </is>
      </c>
      <c r="I25" t="n">
        <v>5746488122</v>
      </c>
      <c r="J25" t="inlineStr">
        <is>
          <t>DLP-CTPA00  000107/2026</t>
        </is>
      </c>
      <c r="K25" t="n">
        <v>112600604</v>
      </c>
      <c r="L25" t="inlineStr">
        <is>
          <t>2026-06-07 14:26</t>
        </is>
      </c>
      <c r="M25" t="inlineStr">
        <is>
          <t>2026-06-07 18:00</t>
        </is>
      </c>
      <c r="N25" t="inlineStr">
        <is>
          <t>FORMS SUBST DE TRANSFORMADOR</t>
        </is>
      </c>
      <c r="O25" t="inlineStr">
        <is>
          <t>DOLP-RD-PA</t>
        </is>
      </c>
      <c r="P25" t="inlineStr">
        <is>
          <t>PALMAS</t>
        </is>
      </c>
      <c r="Q25" t="inlineStr">
        <is>
          <t>QUEIMADO</t>
        </is>
      </c>
      <c r="R25" t="inlineStr">
        <is>
          <t>BUCHA DANIFICADA</t>
        </is>
      </c>
      <c r="S25" t="inlineStr">
        <is>
          <t>437872</t>
        </is>
      </c>
      <c r="T25" t="n">
        <v>606278</v>
      </c>
      <c r="U25" t="inlineStr">
        <is>
          <t>sim</t>
        </is>
      </c>
      <c r="Z25" t="inlineStr">
        <is>
          <t>SIM</t>
        </is>
      </c>
      <c r="AA25" t="inlineStr">
        <is>
          <t>leitura caso a caso</t>
        </is>
      </c>
      <c r="AB25" t="inlineStr">
        <is>
          <t>Fora do indicador: a SS não cai na janela de nenhuma interrupção.</t>
        </is>
      </c>
      <c r="AC25" t="inlineStr">
        <is>
          <t>segue nota de trafo queimado, trafo 5745488122, trafo de 45kva, tensao 34,500kv, bitola caboAA / 2, para raio danificado, acesso livre, elo 2H. ramal do piabanha</t>
        </is>
      </c>
      <c r="AD25" s="15" t="inlineStr">
        <is>
          <t xml:space="preserve">MEDIDO_ 
EMERGENCIAL_ 
segue nota de trafo queimado, trafo 5745488122, trafo de 45kva, tensao 34,500kv, bitola caboAA / 2,  
para raio danificado, acesso livre, elo 2H. ramal do piabanha 
</t>
        </is>
      </c>
    </row>
    <row r="26" ht="300" customHeight="1">
      <c r="A26" t="inlineStr">
        <is>
          <t>ETO-RD-GU 00390/2026</t>
        </is>
      </c>
      <c r="B26" t="inlineStr">
        <is>
          <t>mar</t>
        </is>
      </c>
      <c r="C26" t="inlineStr">
        <is>
          <t>Sem interrupção comprovada</t>
        </is>
      </c>
      <c r="D26" t="inlineStr">
        <is>
          <t>Fora da janela</t>
        </is>
      </c>
      <c r="E26" t="inlineStr">
        <is>
          <t>EXPURGO</t>
        </is>
      </c>
      <c r="F26" t="inlineStr">
        <is>
          <t>QUEIMADO</t>
        </is>
      </c>
      <c r="G26" t="inlineStr">
        <is>
          <t>esteira 1.582</t>
        </is>
      </c>
      <c r="H26" t="inlineStr">
        <is>
          <t>FORA DA JANELA DA CRÍTICA</t>
        </is>
      </c>
      <c r="I26" t="n">
        <v>5700039076</v>
      </c>
      <c r="J26" t="inlineStr">
        <is>
          <t>DBM-MLDB03  000067/2026</t>
        </is>
      </c>
      <c r="K26" t="n">
        <v>412600331</v>
      </c>
      <c r="L26" t="inlineStr">
        <is>
          <t>2026-03-26 10:34</t>
        </is>
      </c>
      <c r="M26" t="inlineStr">
        <is>
          <t>2026-03-29 13:49</t>
        </is>
      </c>
      <c r="N26" t="inlineStr">
        <is>
          <t>FORMS SUBST DE TRANSFORMADOR</t>
        </is>
      </c>
      <c r="O26" t="inlineStr">
        <is>
          <t>ETO-RD-GU</t>
        </is>
      </c>
      <c r="P26" t="inlineStr">
        <is>
          <t>DUERE</t>
        </is>
      </c>
      <c r="Q26" t="inlineStr">
        <is>
          <t>QUEIMADO</t>
        </is>
      </c>
      <c r="R26" t="inlineStr">
        <is>
          <t>NÃO IDENTIFICADO</t>
        </is>
      </c>
      <c r="S26" t="inlineStr">
        <is>
          <t>1574224</t>
        </is>
      </c>
      <c r="T26" t="n">
        <v>828021</v>
      </c>
      <c r="U26" t="inlineStr">
        <is>
          <t>sim</t>
        </is>
      </c>
      <c r="Z26" t="inlineStr">
        <is>
          <t>SIM</t>
        </is>
      </c>
      <c r="AA26" t="inlineStr">
        <is>
          <t>leitura caso a caso</t>
        </is>
      </c>
      <c r="AB26" t="inlineStr">
        <is>
          <t>Fora do indicador: a SS não cai na janela de nenhuma interrupção.</t>
        </is>
      </c>
      <c r="AC26" t="inlineStr">
        <is>
          <t>SEGUE SS DE TRAFO QUEIMADO NA RDR DE DUERE, TRAFO DE 15KVA NA REDE DE 19.9KV, PARA RAIO QUEIMADO E ACESSO LIVRE.</t>
        </is>
      </c>
      <c r="AD26" s="15" t="inlineStr">
        <is>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is>
      </c>
    </row>
    <row r="27" ht="390" customHeight="1">
      <c r="A27" t="inlineStr">
        <is>
          <t>ENC-RD-PS 00481/2026</t>
        </is>
      </c>
      <c r="B27" t="inlineStr">
        <is>
          <t>abr</t>
        </is>
      </c>
      <c r="C27" t="inlineStr">
        <is>
          <t>Sem interrupção comprovada</t>
        </is>
      </c>
      <c r="D27" t="inlineStr">
        <is>
          <t>Fora da janela</t>
        </is>
      </c>
      <c r="E27" t="inlineStr">
        <is>
          <t>EXPURGO</t>
        </is>
      </c>
      <c r="F27" t="inlineStr">
        <is>
          <t>QUEIMADO</t>
        </is>
      </c>
      <c r="G27" t="inlineStr">
        <is>
          <t>esteira 1.582</t>
        </is>
      </c>
      <c r="H27" t="inlineStr">
        <is>
          <t>FORA DA JANELA DA CRÍTICA</t>
        </is>
      </c>
      <c r="I27" t="n">
        <v>5701214055</v>
      </c>
      <c r="J27" t="inlineStr">
        <is>
          <t>ENC-LMPS03  000077/2026</t>
        </is>
      </c>
      <c r="K27" t="n">
        <v>212600452</v>
      </c>
      <c r="L27" t="inlineStr">
        <is>
          <t>2026-04-28 09:30</t>
        </is>
      </c>
      <c r="M27" t="inlineStr">
        <is>
          <t>2026-04-30 21:05</t>
        </is>
      </c>
      <c r="N27" t="inlineStr">
        <is>
          <t>FORMS SUBST DE TRANSFORMADOR</t>
        </is>
      </c>
      <c r="O27" t="inlineStr">
        <is>
          <t>ENC-RD-PS</t>
        </is>
      </c>
      <c r="P27" t="inlineStr">
        <is>
          <t>ARAGUACEMA</t>
        </is>
      </c>
      <c r="Q27" t="inlineStr">
        <is>
          <t>QUEIMADO</t>
        </is>
      </c>
      <c r="R27" t="inlineStr">
        <is>
          <t>VAZAMENTO DE ÓLEO</t>
        </is>
      </c>
      <c r="S27" t="inlineStr">
        <is>
          <t>723749</t>
        </is>
      </c>
      <c r="U27" t="inlineStr">
        <is>
          <t>não</t>
        </is>
      </c>
      <c r="Z27" t="inlineStr">
        <is>
          <t>SIM</t>
        </is>
      </c>
      <c r="AA27" t="inlineStr">
        <is>
          <t>leitura caso a caso</t>
        </is>
      </c>
      <c r="AB27" t="inlineStr">
        <is>
          <t>Fora do indicador: a SS não cai na janela de nenhuma interrupção.</t>
        </is>
      </c>
      <c r="AC27" t="inlineStr">
        <is>
          <t>TR 5701214055QUEIMADO ACESSO LIVRE CAMINHONETE 5KVATENSAO 34500PARA RAIO DANIFICADO 055OP01</t>
        </is>
      </c>
      <c r="AD27" s="15" t="inlineStr">
        <is>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is>
      </c>
    </row>
    <row r="28" ht="409.5" customHeight="1">
      <c r="A28" t="inlineStr">
        <is>
          <t>ETO-RD-GR 00466/2026</t>
        </is>
      </c>
      <c r="B28" t="inlineStr">
        <is>
          <t>abr</t>
        </is>
      </c>
      <c r="C28" t="inlineStr">
        <is>
          <t>Sem interrupção comprovada</t>
        </is>
      </c>
      <c r="D28" t="inlineStr">
        <is>
          <t>Fora da janela</t>
        </is>
      </c>
      <c r="E28" t="inlineStr">
        <is>
          <t>EXPURGO</t>
        </is>
      </c>
      <c r="F28" t="inlineStr">
        <is>
          <t>QUEIMADO</t>
        </is>
      </c>
      <c r="G28" t="inlineStr">
        <is>
          <t>esteira 1.582</t>
        </is>
      </c>
      <c r="H28" t="inlineStr">
        <is>
          <t>FORA DA JANELA DA CRÍTICA</t>
        </is>
      </c>
      <c r="I28" t="n">
        <v>5710404111</v>
      </c>
      <c r="J28" t="inlineStr">
        <is>
          <t>ENC-MLGR01  000116/2026</t>
        </is>
      </c>
      <c r="K28" t="n">
        <v>712600315</v>
      </c>
      <c r="L28" t="inlineStr">
        <is>
          <t>2026-04-22 07:20</t>
        </is>
      </c>
      <c r="M28" t="inlineStr">
        <is>
          <t>2026-04-21 16:43</t>
        </is>
      </c>
      <c r="N28" t="inlineStr">
        <is>
          <t>FORMS SUBST DE TRANSFORMADOR</t>
        </is>
      </c>
      <c r="O28" t="inlineStr">
        <is>
          <t>ETO-RD-GR</t>
        </is>
      </c>
      <c r="P28" t="inlineStr">
        <is>
          <t>PEQUIZEIRO</t>
        </is>
      </c>
      <c r="Q28" t="inlineStr">
        <is>
          <t>QUEIMADO</t>
        </is>
      </c>
      <c r="R28" t="inlineStr">
        <is>
          <t>DESCARGA ATMOSFÉRICA</t>
        </is>
      </c>
      <c r="S28" t="inlineStr">
        <is>
          <t>178699</t>
        </is>
      </c>
      <c r="T28" t="n">
        <v>827778</v>
      </c>
      <c r="U28" t="inlineStr">
        <is>
          <t>sim</t>
        </is>
      </c>
      <c r="X28" t="inlineStr">
        <is>
          <t>TRANSFORMADOR</t>
        </is>
      </c>
      <c r="Y28" t="inlineStr">
        <is>
          <t>QUEIMADO POR DESCARGA ATMOSFERICA</t>
        </is>
      </c>
      <c r="Z28" t="inlineStr">
        <is>
          <t>SIM</t>
        </is>
      </c>
      <c r="AA28" t="inlineStr">
        <is>
          <t>leitura caso a caso</t>
        </is>
      </c>
      <c r="AB28" t="inlineStr">
        <is>
          <t>Fora do indicador: a SS não cai na janela de nenhuma interrupção.</t>
        </is>
      </c>
      <c r="AC28" t="inlineStr">
        <is>
          <t>TRAFO QUEIMADO DE 15KVA DA 19.9. PARA RAIOS QUEIMADO. ACESSO BOM. 01 CLIENTE PENALIZADO.</t>
        </is>
      </c>
      <c r="AD28" s="15" t="inlineStr">
        <is>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is>
      </c>
    </row>
  </sheetData>
  <pageMargins left="0.511811024" right="0.511811024" top="0.787401575" bottom="0.787401575" header="0.31496062" footer="0.31496062"/>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D228"/>
  <sheetViews>
    <sheetView workbookViewId="0">
      <pane xSplit="1" ySplit="1" topLeftCell="X225" activePane="bottomRight" state="frozen"/>
      <selection pane="topRight" activeCell="A1" sqref="A1"/>
      <selection pane="bottomLeft" activeCell="A1" sqref="A1"/>
      <selection pane="bottomRight" activeCell="H9" sqref="A1:AD228"/>
    </sheetView>
  </sheetViews>
  <sheetFormatPr baseColWidth="8" defaultRowHeight="15"/>
  <cols>
    <col width="22" customWidth="1" min="1" max="1"/>
    <col width="13" customWidth="1" min="2" max="2"/>
    <col width="30" customWidth="1" min="3" max="3"/>
    <col width="22" customWidth="1" min="4" max="4"/>
    <col width="13" customWidth="1" min="5" max="5"/>
    <col width="22" customWidth="1" min="6" max="6"/>
    <col width="26" customWidth="1" min="7" max="7"/>
    <col width="30" customWidth="1" min="8" max="8"/>
    <col width="13" customWidth="1" min="9" max="13"/>
    <col width="26" customWidth="1" min="14" max="14"/>
    <col width="13" customWidth="1" min="15" max="22"/>
    <col width="30" customWidth="1" min="23" max="23"/>
    <col width="13" customWidth="1" min="24" max="24"/>
    <col width="28" customWidth="1" min="25" max="25"/>
    <col width="13" customWidth="1" min="26" max="26"/>
    <col width="26" customWidth="1" min="27" max="27"/>
    <col width="45" customWidth="1" min="28" max="28"/>
    <col width="50" customWidth="1" min="29" max="29"/>
    <col width="65" customWidth="1" min="30" max="30"/>
  </cols>
  <sheetData>
    <row r="1" ht="36" customHeight="1">
      <c r="A1" s="1" t="inlineStr">
        <is>
          <t>SS</t>
        </is>
      </c>
      <c r="B1" s="1" t="inlineStr">
        <is>
          <t>Mês</t>
        </is>
      </c>
      <c r="C1" s="1" t="inlineStr">
        <is>
          <t>Macro categoria</t>
        </is>
      </c>
      <c r="D1" s="1" t="inlineStr">
        <is>
          <t>Motivo</t>
        </is>
      </c>
      <c r="E1" s="1" t="inlineStr">
        <is>
          <t>Resultado</t>
        </is>
      </c>
      <c r="F1" s="1" t="inlineStr">
        <is>
          <t>Categoria pelo texto</t>
        </is>
      </c>
      <c r="G1" s="1" t="inlineStr">
        <is>
          <t>Fonte da categoria</t>
        </is>
      </c>
      <c r="H1" s="1" t="inlineStr">
        <is>
          <t>Categoria da leitura</t>
        </is>
      </c>
      <c r="I1" s="1" t="inlineStr">
        <is>
          <t>Trafo</t>
        </is>
      </c>
      <c r="J1" s="1" t="inlineStr">
        <is>
          <t>OS</t>
        </is>
      </c>
      <c r="K1" s="1" t="inlineStr">
        <is>
          <t>Obra</t>
        </is>
      </c>
      <c r="L1" s="1" t="inlineStr">
        <is>
          <t>Abertura</t>
        </is>
      </c>
      <c r="M1" s="1" t="inlineStr">
        <is>
          <t>Término</t>
        </is>
      </c>
      <c r="N1" s="1" t="inlineStr">
        <is>
          <t>Tipo da SS</t>
        </is>
      </c>
      <c r="O1" s="1" t="inlineStr">
        <is>
          <t>Equipe</t>
        </is>
      </c>
      <c r="P1" s="1" t="inlineStr">
        <is>
          <t>Localidade</t>
        </is>
      </c>
      <c r="Q1" s="1" t="inlineStr">
        <is>
          <t>Origem da SS</t>
        </is>
      </c>
      <c r="R1" s="1" t="inlineStr">
        <is>
          <t>Defeito da SS</t>
        </is>
      </c>
      <c r="S1" s="1" t="inlineStr">
        <is>
          <t>NS retirado</t>
        </is>
      </c>
      <c r="T1" s="1" t="inlineStr">
        <is>
          <t>NS instalado</t>
        </is>
      </c>
      <c r="U1" s="1" t="inlineStr">
        <is>
          <t>Prova de troca</t>
        </is>
      </c>
      <c r="V1" s="1" t="inlineStr">
        <is>
          <t>Crítica — causa</t>
        </is>
      </c>
      <c r="W1" s="1" t="inlineStr">
        <is>
          <t>Crítica — subcausa</t>
        </is>
      </c>
      <c r="X1" s="1" t="inlineStr">
        <is>
          <t>TMAE — causa</t>
        </is>
      </c>
      <c r="Y1" s="1" t="inlineStr">
        <is>
          <t>TMAE — subcausa</t>
        </is>
      </c>
      <c r="Z1" s="1" t="inlineStr">
        <is>
          <t>No Infotrafo</t>
        </is>
      </c>
      <c r="AA1" s="1" t="inlineStr">
        <is>
          <t>Origem da leitura</t>
        </is>
      </c>
      <c r="AB1" s="1" t="inlineStr">
        <is>
          <t>Por que saiu</t>
        </is>
      </c>
      <c r="AC1" s="1" t="inlineStr">
        <is>
          <t>Texto da SS</t>
        </is>
      </c>
      <c r="AD1" s="1" t="inlineStr">
        <is>
          <t>Texto da OS</t>
        </is>
      </c>
    </row>
    <row r="2" ht="30" customHeight="1">
      <c r="A2" s="2" t="inlineStr">
        <is>
          <t>DG-RD-PO 00064/2026</t>
        </is>
      </c>
      <c r="B2" s="2" t="inlineStr">
        <is>
          <t>jan</t>
        </is>
      </c>
      <c r="C2" s="3" t="inlineStr">
        <is>
          <t>Sem interrupção comprovada</t>
        </is>
      </c>
      <c r="D2" s="2" t="inlineStr">
        <is>
          <t>Fora da janela</t>
        </is>
      </c>
      <c r="E2" s="2" t="inlineStr">
        <is>
          <t>EXPURGO</t>
        </is>
      </c>
      <c r="F2" s="2" t="inlineStr">
        <is>
          <t>QUEIMADO</t>
        </is>
      </c>
      <c r="G2" s="2" t="inlineStr">
        <is>
          <t>esteira 1.582</t>
        </is>
      </c>
      <c r="H2" s="2" t="inlineStr">
        <is>
          <t>FORA DA JANELA DA CRÍTICA</t>
        </is>
      </c>
      <c r="I2" s="2" t="n">
        <v>5711513001</v>
      </c>
      <c r="J2" s="2" t="inlineStr">
        <is>
          <t>DG-MLPO01  000016/2026</t>
        </is>
      </c>
      <c r="K2" s="2" t="n">
        <v>312600058</v>
      </c>
      <c r="L2" s="2" t="inlineStr">
        <is>
          <t>2026-01-16 03:49</t>
        </is>
      </c>
      <c r="M2" s="2" t="inlineStr">
        <is>
          <t>2026-01-16 12:25</t>
        </is>
      </c>
      <c r="N2" s="2" t="inlineStr">
        <is>
          <t>FORMS SUBST DE TRANSFORMADOR</t>
        </is>
      </c>
      <c r="O2" s="2" t="inlineStr">
        <is>
          <t>DG-RD-PO</t>
        </is>
      </c>
      <c r="P2" s="2" t="inlineStr">
        <is>
          <t>PORTO NACIONAL</t>
        </is>
      </c>
      <c r="Q2" s="2" t="inlineStr">
        <is>
          <t>AVARIADO</t>
        </is>
      </c>
      <c r="R2" s="2" t="inlineStr">
        <is>
          <t>NÃO IDENTIFICADO</t>
        </is>
      </c>
      <c r="S2" s="2" t="inlineStr">
        <is>
          <t>47057</t>
        </is>
      </c>
      <c r="T2" s="2" t="n">
        <v>1587612</v>
      </c>
      <c r="U2" s="2" t="inlineStr">
        <is>
          <t>sim</t>
        </is>
      </c>
      <c r="V2" s="2" t="n"/>
      <c r="W2" s="2" t="n"/>
      <c r="X2" s="2" t="n"/>
      <c r="Y2" s="2" t="n"/>
      <c r="Z2" s="4" t="inlineStr">
        <is>
          <t>SIM</t>
        </is>
      </c>
      <c r="AA2" s="4" t="inlineStr">
        <is>
          <t>leitura caso a caso</t>
        </is>
      </c>
      <c r="AB2" s="4" t="inlineStr">
        <is>
          <t>Fora do indicador: a SS não cai na janela de nenhuma interrupção.</t>
        </is>
      </c>
      <c r="AC2" s="2"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D2" s="2" t="inlineStr">
        <is>
          <t xml:space="preserve">medido_ 
emergencial_ 
substituição de trafo queimado rdr porto 
</t>
        </is>
      </c>
    </row>
    <row r="3" ht="45" customHeight="1">
      <c r="A3" s="2" t="inlineStr">
        <is>
          <t>DOLP-RD-PA 00122/2026</t>
        </is>
      </c>
      <c r="B3" s="2" t="inlineStr">
        <is>
          <t>jan</t>
        </is>
      </c>
      <c r="C3" s="3" t="inlineStr">
        <is>
          <t>Sem interrupção comprovada</t>
        </is>
      </c>
      <c r="D3" s="2" t="inlineStr">
        <is>
          <t>Fora da janela</t>
        </is>
      </c>
      <c r="E3" s="2" t="inlineStr">
        <is>
          <t>EXPURGO</t>
        </is>
      </c>
      <c r="F3" s="2" t="inlineStr">
        <is>
          <t>QUEIMADO</t>
        </is>
      </c>
      <c r="G3" s="2" t="inlineStr">
        <is>
          <t>esteira 1.582</t>
        </is>
      </c>
      <c r="H3" s="2" t="inlineStr">
        <is>
          <t>FORA DA JANELA DA CRÍTICA</t>
        </is>
      </c>
      <c r="I3" s="2" t="n">
        <v>5710169006</v>
      </c>
      <c r="J3" s="2" t="inlineStr">
        <is>
          <t>DLP-MLPA01  000020/2026</t>
        </is>
      </c>
      <c r="K3" s="2" t="n">
        <v>112600156</v>
      </c>
      <c r="L3" s="2" t="inlineStr">
        <is>
          <t>2026-01-25 10:13</t>
        </is>
      </c>
      <c r="M3" s="2" t="inlineStr">
        <is>
          <t>2026-01-26 18:30</t>
        </is>
      </c>
      <c r="N3" s="2" t="inlineStr">
        <is>
          <t>FORMS SUBST DE TRANSFORMADOR</t>
        </is>
      </c>
      <c r="O3" s="2" t="inlineStr">
        <is>
          <t>DOLP-RD-PA</t>
        </is>
      </c>
      <c r="P3" s="2" t="inlineStr">
        <is>
          <t>TOCANTINIA</t>
        </is>
      </c>
      <c r="Q3" s="2" t="inlineStr">
        <is>
          <t>QUEIMADO</t>
        </is>
      </c>
      <c r="R3" s="2" t="inlineStr">
        <is>
          <t>NÃO IDENTIFICADO</t>
        </is>
      </c>
      <c r="S3" s="2" t="inlineStr">
        <is>
          <t>358539</t>
        </is>
      </c>
      <c r="T3" s="2" t="n">
        <v>464890</v>
      </c>
      <c r="U3" s="2" t="inlineStr">
        <is>
          <t>sim</t>
        </is>
      </c>
      <c r="V3" s="2" t="n"/>
      <c r="W3" s="2" t="n"/>
      <c r="X3" s="2" t="n"/>
      <c r="Y3" s="2" t="n"/>
      <c r="Z3" s="4" t="inlineStr">
        <is>
          <t>SIM</t>
        </is>
      </c>
      <c r="AA3" s="4" t="inlineStr">
        <is>
          <t>leitura caso a caso</t>
        </is>
      </c>
      <c r="AB3" s="4" t="inlineStr">
        <is>
          <t>Fora do indicador: a Crítica registra defeito aberto neste transformador, mas em data que não cabe na janela desta SS.</t>
        </is>
      </c>
      <c r="AC3" s="2" t="inlineStr">
        <is>
          <t>segue ss de 01 trafo de 15 kvar e 01 para raio queimado da rede de 34.500kv para ser subistituido pela equipe de manutencão cliente penalizado 01 equipe que atendeu 006op01 cel, 63992363662/992379486 acesso livre favor agilizar o atendimento</t>
        </is>
      </c>
      <c r="AD3" s="2" t="inlineStr">
        <is>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is>
      </c>
    </row>
    <row r="4" ht="30" customHeight="1">
      <c r="A4" s="2" t="inlineStr">
        <is>
          <t>DOLP-RD-PA 00124/2026</t>
        </is>
      </c>
      <c r="B4" s="2" t="inlineStr">
        <is>
          <t>jan</t>
        </is>
      </c>
      <c r="C4" s="3" t="inlineStr">
        <is>
          <t>Sem interrupção comprovada</t>
        </is>
      </c>
      <c r="D4" s="2" t="inlineStr">
        <is>
          <t>Fora da janela</t>
        </is>
      </c>
      <c r="E4" s="2" t="inlineStr">
        <is>
          <t>EXPURGO</t>
        </is>
      </c>
      <c r="F4" s="2" t="inlineStr">
        <is>
          <t>QUEIMADO</t>
        </is>
      </c>
      <c r="G4" s="2" t="inlineStr">
        <is>
          <t>esteira 1.582</t>
        </is>
      </c>
      <c r="H4" s="2" t="inlineStr">
        <is>
          <t>FORA DA JANELA DA CRÍTICA</t>
        </is>
      </c>
      <c r="I4" s="2" t="n">
        <v>5711933122</v>
      </c>
      <c r="J4" s="2" t="inlineStr">
        <is>
          <t>DLP-MLPA01  000021/2026</t>
        </is>
      </c>
      <c r="K4" s="2" t="n">
        <v>112600144</v>
      </c>
      <c r="L4" s="2" t="inlineStr">
        <is>
          <t>2026-01-25 12:35</t>
        </is>
      </c>
      <c r="M4" s="2" t="inlineStr">
        <is>
          <t>2026-01-26 16:04</t>
        </is>
      </c>
      <c r="N4" s="2" t="inlineStr">
        <is>
          <t>FORMS SUBST DE TRANSFORMADOR</t>
        </is>
      </c>
      <c r="O4" s="2" t="inlineStr">
        <is>
          <t>DOLP-RD-PA</t>
        </is>
      </c>
      <c r="P4" s="2" t="inlineStr">
        <is>
          <t>PALMAS</t>
        </is>
      </c>
      <c r="Q4" s="2" t="inlineStr">
        <is>
          <t>QUEIMADO</t>
        </is>
      </c>
      <c r="R4" s="2" t="inlineStr">
        <is>
          <t>NÃO IDENTIFICADO</t>
        </is>
      </c>
      <c r="S4" s="2" t="inlineStr">
        <is>
          <t>181042</t>
        </is>
      </c>
      <c r="T4" s="2" t="n">
        <v>799443</v>
      </c>
      <c r="U4" s="2" t="inlineStr">
        <is>
          <t>sim</t>
        </is>
      </c>
      <c r="V4" s="2" t="n"/>
      <c r="W4" s="2" t="n"/>
      <c r="X4" s="2" t="n"/>
      <c r="Y4" s="2" t="n"/>
      <c r="Z4" s="4" t="inlineStr">
        <is>
          <t>SIM</t>
        </is>
      </c>
      <c r="AA4" s="4" t="inlineStr">
        <is>
          <t>leitura caso a caso</t>
        </is>
      </c>
      <c r="AB4" s="4" t="inlineStr">
        <is>
          <t>Fora do indicador: a SS não cai na janela de nenhuma interrupção.</t>
        </is>
      </c>
      <c r="AC4" s="2"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D4" s="2" t="inlineStr">
        <is>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is>
      </c>
    </row>
    <row r="5" ht="30" customHeight="1">
      <c r="A5" s="2" t="inlineStr">
        <is>
          <t>ENC-RD-PS 00008/2026</t>
        </is>
      </c>
      <c r="B5" s="2" t="inlineStr">
        <is>
          <t>jan</t>
        </is>
      </c>
      <c r="C5" s="3" t="inlineStr">
        <is>
          <t>Sem interrupção comprovada</t>
        </is>
      </c>
      <c r="D5" s="2" t="inlineStr">
        <is>
          <t>Fora da janela</t>
        </is>
      </c>
      <c r="E5" s="2" t="inlineStr">
        <is>
          <t>EXPURGO</t>
        </is>
      </c>
      <c r="F5" s="2" t="inlineStr">
        <is>
          <t>QUEIMADO</t>
        </is>
      </c>
      <c r="G5" s="2" t="inlineStr">
        <is>
          <t>esteira 1.582</t>
        </is>
      </c>
      <c r="H5" s="2" t="inlineStr">
        <is>
          <t>FORA DA JANELA DA CRÍTICA</t>
        </is>
      </c>
      <c r="I5" s="2" t="n">
        <v>5700188046</v>
      </c>
      <c r="J5" s="2" t="inlineStr">
        <is>
          <t>ENC-LMPS01  000004/2026</t>
        </is>
      </c>
      <c r="K5" s="2" t="n">
        <v>212600046</v>
      </c>
      <c r="L5" s="2" t="inlineStr">
        <is>
          <t>2026-01-03 18:05</t>
        </is>
      </c>
      <c r="M5" s="2" t="inlineStr">
        <is>
          <t>2026-01-05 00:35</t>
        </is>
      </c>
      <c r="N5" s="2" t="inlineStr">
        <is>
          <t>FORMS SUBST DE TRANSFORMADOR</t>
        </is>
      </c>
      <c r="O5" s="2" t="inlineStr">
        <is>
          <t>ENC-RD-PS</t>
        </is>
      </c>
      <c r="P5" s="2" t="inlineStr">
        <is>
          <t>NOVA ROSALANDIA</t>
        </is>
      </c>
      <c r="Q5" s="2" t="inlineStr">
        <is>
          <t>QUEIMADO</t>
        </is>
      </c>
      <c r="R5" s="2" t="inlineStr">
        <is>
          <t>DESCARGA ATMOSFÉRICA</t>
        </is>
      </c>
      <c r="S5" s="2" t="inlineStr">
        <is>
          <t>565670050</t>
        </is>
      </c>
      <c r="T5" s="2" t="n">
        <v>136158</v>
      </c>
      <c r="U5" s="2" t="inlineStr">
        <is>
          <t>sim</t>
        </is>
      </c>
      <c r="V5" s="2" t="inlineStr">
        <is>
          <t>MEIO AMBIENTE</t>
        </is>
      </c>
      <c r="W5" s="2" t="inlineStr">
        <is>
          <t>DESCARGA ATMOSFERICA</t>
        </is>
      </c>
      <c r="X5" s="2" t="n"/>
      <c r="Y5" s="2" t="n"/>
      <c r="Z5" s="4" t="inlineStr">
        <is>
          <t>SIM</t>
        </is>
      </c>
      <c r="AA5" s="4" t="inlineStr">
        <is>
          <t>leitura caso a caso</t>
        </is>
      </c>
      <c r="AB5" s="4" t="inlineStr">
        <is>
          <t>Fora do indicador: a SS não cai na janela de nenhuma interrupção.</t>
        </is>
      </c>
      <c r="AC5" s="2" t="inlineStr">
        <is>
          <t>TR 5700188046 QUEIMADO 30KVAPARA RAIO DANIFICADO ACESSO LIVRET 34500013OP14</t>
        </is>
      </c>
      <c r="AD5" s="2" t="inlineStr">
        <is>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is>
      </c>
    </row>
    <row r="6" ht="30" customHeight="1">
      <c r="A6" s="2" t="inlineStr">
        <is>
          <t>ETO-RD-AR 00034/2026</t>
        </is>
      </c>
      <c r="B6" s="2" t="inlineStr">
        <is>
          <t>jan</t>
        </is>
      </c>
      <c r="C6" s="3" t="inlineStr">
        <is>
          <t>Sem interrupção comprovada</t>
        </is>
      </c>
      <c r="D6" s="2" t="inlineStr">
        <is>
          <t>Fora da janela</t>
        </is>
      </c>
      <c r="E6" s="2" t="inlineStr">
        <is>
          <t>EXPURGO</t>
        </is>
      </c>
      <c r="F6" s="2" t="inlineStr">
        <is>
          <t>QUEIMADO</t>
        </is>
      </c>
      <c r="G6" s="2" t="inlineStr">
        <is>
          <t>esteira 1.582</t>
        </is>
      </c>
      <c r="H6" s="2" t="inlineStr">
        <is>
          <t>FORA DA JANELA DA CRÍTICA</t>
        </is>
      </c>
      <c r="I6" s="2" t="n">
        <v>5700867040</v>
      </c>
      <c r="J6" s="2" t="inlineStr">
        <is>
          <t>ENC-MLAR05  000014/2026</t>
        </is>
      </c>
      <c r="K6" s="2" t="n">
        <v>612600051</v>
      </c>
      <c r="L6" s="2" t="inlineStr">
        <is>
          <t>2026-01-08 10:53</t>
        </is>
      </c>
      <c r="M6" s="2" t="inlineStr">
        <is>
          <t>2026-01-09 16:30</t>
        </is>
      </c>
      <c r="N6" s="2" t="inlineStr">
        <is>
          <t>FORMS SUBST DE TRANSFORMADOR</t>
        </is>
      </c>
      <c r="O6" s="2" t="inlineStr">
        <is>
          <t>ETO-RD-AR</t>
        </is>
      </c>
      <c r="P6" s="2" t="inlineStr">
        <is>
          <t>ARAGOMINAS</t>
        </is>
      </c>
      <c r="Q6" s="2" t="inlineStr">
        <is>
          <t>QUEIMADO</t>
        </is>
      </c>
      <c r="R6" s="2" t="inlineStr">
        <is>
          <t>DESCARGA ATMOSFÉRICA</t>
        </is>
      </c>
      <c r="S6" s="2" t="inlineStr">
        <is>
          <t>432082</t>
        </is>
      </c>
      <c r="T6" s="2" t="n"/>
      <c r="U6" s="2" t="inlineStr">
        <is>
          <t>não</t>
        </is>
      </c>
      <c r="V6" s="2" t="n"/>
      <c r="W6" s="2" t="n"/>
      <c r="X6" s="2" t="n"/>
      <c r="Y6" s="2" t="n"/>
      <c r="Z6" s="4" t="inlineStr">
        <is>
          <t>SIM</t>
        </is>
      </c>
      <c r="AA6" s="4" t="inlineStr">
        <is>
          <t>leitura caso a caso</t>
        </is>
      </c>
      <c r="AB6" s="4" t="inlineStr">
        <is>
          <t>Fora do indicador: a SS não cai na janela de nenhuma interrupção.</t>
        </is>
      </c>
      <c r="AC6" s="2" t="inlineStr">
        <is>
          <t>Trafo 5700867040 15kvaTensão: 19.9Equipe: 058op03Endereço: IND ASSENTAMEN P.A. REUNIDAS, 0 - LOTE 37</t>
        </is>
      </c>
      <c r="AD6" s="2"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7" ht="30" customHeight="1">
      <c r="A7" s="2" t="inlineStr">
        <is>
          <t>ETO-RD-AR 00188/2026</t>
        </is>
      </c>
      <c r="B7" s="2" t="inlineStr">
        <is>
          <t>jan</t>
        </is>
      </c>
      <c r="C7" s="3" t="inlineStr">
        <is>
          <t>Sem interrupção comprovada</t>
        </is>
      </c>
      <c r="D7" s="2" t="inlineStr">
        <is>
          <t>Fora da janela</t>
        </is>
      </c>
      <c r="E7" s="2" t="inlineStr">
        <is>
          <t>EXPURGO</t>
        </is>
      </c>
      <c r="F7" s="2" t="inlineStr">
        <is>
          <t>QUEIMADO</t>
        </is>
      </c>
      <c r="G7" s="2" t="inlineStr">
        <is>
          <t>esteira 1.582</t>
        </is>
      </c>
      <c r="H7" s="2" t="inlineStr">
        <is>
          <t>FORA DA JANELA DA CRÍTICA</t>
        </is>
      </c>
      <c r="I7" s="2" t="n">
        <v>5739688157</v>
      </c>
      <c r="J7" s="2" t="inlineStr">
        <is>
          <t>ENC-MLAR01  000075/2026</t>
        </is>
      </c>
      <c r="K7" s="2" t="n">
        <v>612600125</v>
      </c>
      <c r="L7" s="2" t="inlineStr">
        <is>
          <t>2026-01-30 11:44</t>
        </is>
      </c>
      <c r="M7" s="2" t="inlineStr">
        <is>
          <t>2026-01-30 21:00</t>
        </is>
      </c>
      <c r="N7" s="2" t="inlineStr">
        <is>
          <t>FORMS SUBST DE TRANSFORMADOR</t>
        </is>
      </c>
      <c r="O7" s="2" t="inlineStr">
        <is>
          <t>ETO-RD-AR</t>
        </is>
      </c>
      <c r="P7" s="2" t="inlineStr">
        <is>
          <t>ARAGUANA</t>
        </is>
      </c>
      <c r="Q7" s="2" t="inlineStr">
        <is>
          <t>QUEIMADO</t>
        </is>
      </c>
      <c r="R7" s="2" t="inlineStr">
        <is>
          <t>DESCARGA ATMOSFÉRICA</t>
        </is>
      </c>
      <c r="S7" s="2" t="inlineStr">
        <is>
          <t>379613</t>
        </is>
      </c>
      <c r="T7" s="2" t="n">
        <v>460390</v>
      </c>
      <c r="U7" s="2" t="inlineStr">
        <is>
          <t>sim</t>
        </is>
      </c>
      <c r="V7" s="2" t="n"/>
      <c r="W7" s="2" t="n"/>
      <c r="X7" s="2" t="n"/>
      <c r="Y7" s="2" t="n"/>
      <c r="Z7" s="4" t="inlineStr">
        <is>
          <t>não</t>
        </is>
      </c>
      <c r="AA7" s="4" t="inlineStr">
        <is>
          <t>leitura caso a caso</t>
        </is>
      </c>
      <c r="AB7" s="4" t="inlineStr">
        <is>
          <t>Fora do indicador: a SS não cai na janela de nenhuma interrupção.</t>
        </is>
      </c>
      <c r="AC7" s="2" t="inlineStr">
        <is>
          <t>TRAFO QUEIMADO 5739688157 pararaio queimado acesso caminhonete</t>
        </is>
      </c>
      <c r="AD7" s="2" t="inlineStr">
        <is>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is>
      </c>
    </row>
    <row r="8" ht="30" customHeight="1">
      <c r="A8" s="2" t="inlineStr">
        <is>
          <t>ETO-RD-GR 00023/2026</t>
        </is>
      </c>
      <c r="B8" s="2" t="inlineStr">
        <is>
          <t>jan</t>
        </is>
      </c>
      <c r="C8" s="3" t="inlineStr">
        <is>
          <t>Sem interrupção comprovada</t>
        </is>
      </c>
      <c r="D8" s="2" t="inlineStr">
        <is>
          <t>Fora da janela</t>
        </is>
      </c>
      <c r="E8" s="2" t="inlineStr">
        <is>
          <t>EXPURGO</t>
        </is>
      </c>
      <c r="F8" s="2" t="inlineStr">
        <is>
          <t>AVARIADO</t>
        </is>
      </c>
      <c r="G8" s="2" t="inlineStr">
        <is>
          <t>esteira 1.582</t>
        </is>
      </c>
      <c r="H8" s="2" t="inlineStr">
        <is>
          <t>FORA DA JANELA DA CRÍTICA</t>
        </is>
      </c>
      <c r="I8" s="2" t="n">
        <v>5700005195</v>
      </c>
      <c r="J8" s="2" t="inlineStr">
        <is>
          <t>ENC-MLGR03  000024/2026</t>
        </is>
      </c>
      <c r="K8" s="2" t="n">
        <v>712600051</v>
      </c>
      <c r="L8" s="2" t="inlineStr">
        <is>
          <t>2026-01-05 12:18</t>
        </is>
      </c>
      <c r="M8" s="2" t="inlineStr">
        <is>
          <t>2026-01-08 14:34</t>
        </is>
      </c>
      <c r="N8" s="2" t="inlineStr">
        <is>
          <t>FORMS SUBST DE TRANSFORMADOR</t>
        </is>
      </c>
      <c r="O8" s="2" t="inlineStr">
        <is>
          <t>ETO-RD-GR</t>
        </is>
      </c>
      <c r="P8" s="2" t="inlineStr">
        <is>
          <t>CENTENARIO</t>
        </is>
      </c>
      <c r="Q8" s="2" t="inlineStr">
        <is>
          <t>AVARIADO</t>
        </is>
      </c>
      <c r="R8" s="2" t="inlineStr">
        <is>
          <t>VAZAMENTO DE ÓLEO</t>
        </is>
      </c>
      <c r="S8" s="2" t="inlineStr">
        <is>
          <t>361653</t>
        </is>
      </c>
      <c r="T8" s="2" t="n">
        <v>1587002</v>
      </c>
      <c r="U8" s="2" t="inlineStr">
        <is>
          <t>sim</t>
        </is>
      </c>
      <c r="V8" s="2" t="n"/>
      <c r="W8" s="2" t="n"/>
      <c r="X8" s="2" t="n"/>
      <c r="Y8" s="2" t="n"/>
      <c r="Z8" s="4" t="inlineStr">
        <is>
          <t>SIM</t>
        </is>
      </c>
      <c r="AA8" s="4" t="inlineStr">
        <is>
          <t>leitura caso a caso</t>
        </is>
      </c>
      <c r="AB8" s="4" t="inlineStr">
        <is>
          <t>Fora do indicador: a SS não cai na janela de nenhuma interrupção.</t>
        </is>
      </c>
      <c r="AC8" s="2" t="inlineStr">
        <is>
          <t>Trafo: 5700005195 vazamento de oleo Potencia: 75 KVATensão: 34,5 KV Para raio: queimado Acesso: livre     Equipe: 227op01 (63) 99999-8761/99928-1276Obs. tem que tracar estrutura N1 completa e chave 34,5 KV que atende o trafo. substituir cabos do pirastique.</t>
        </is>
      </c>
      <c r="AD8" s="2"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9" ht="150" customHeight="1">
      <c r="A9" s="2" t="inlineStr">
        <is>
          <t>ETO-RD-GU 00017/2026</t>
        </is>
      </c>
      <c r="B9" s="2" t="inlineStr">
        <is>
          <t>jan</t>
        </is>
      </c>
      <c r="C9" s="3" t="inlineStr">
        <is>
          <t>Sem interrupção comprovada</t>
        </is>
      </c>
      <c r="D9" s="2" t="inlineStr">
        <is>
          <t>Fora da janela</t>
        </is>
      </c>
      <c r="E9" s="2" t="inlineStr">
        <is>
          <t>EXPURGO</t>
        </is>
      </c>
      <c r="F9" s="2" t="inlineStr">
        <is>
          <t>QUEIMADO</t>
        </is>
      </c>
      <c r="G9" s="2" t="inlineStr">
        <is>
          <t>esteira 1.582</t>
        </is>
      </c>
      <c r="H9" s="2" t="inlineStr">
        <is>
          <t>FORA DA JANELA DA CRÍTICA</t>
        </is>
      </c>
      <c r="I9" s="2" t="n">
        <v>5701363094</v>
      </c>
      <c r="J9" s="2" t="inlineStr">
        <is>
          <t>DBM-MLDB06  000006/2026</t>
        </is>
      </c>
      <c r="K9" s="2" t="n">
        <v>412600029</v>
      </c>
      <c r="L9" s="2" t="inlineStr">
        <is>
          <t>2026-01-04 15:53</t>
        </is>
      </c>
      <c r="M9" s="2" t="inlineStr">
        <is>
          <t>2026-01-05 18:15</t>
        </is>
      </c>
      <c r="N9" s="2" t="inlineStr">
        <is>
          <t>FORMS SUBST DE TRANSFORMADOR</t>
        </is>
      </c>
      <c r="O9" s="2" t="inlineStr">
        <is>
          <t>ETO-RD-GU</t>
        </is>
      </c>
      <c r="P9" s="2" t="inlineStr">
        <is>
          <t>PEIXE</t>
        </is>
      </c>
      <c r="Q9" s="2" t="inlineStr">
        <is>
          <t>AVARIADO</t>
        </is>
      </c>
      <c r="R9" s="2" t="inlineStr">
        <is>
          <t>BUCHA DANIFICADA</t>
        </is>
      </c>
      <c r="S9" s="2" t="inlineStr">
        <is>
          <t>389568</t>
        </is>
      </c>
      <c r="T9" s="2" t="n">
        <v>802095</v>
      </c>
      <c r="U9" s="2" t="inlineStr">
        <is>
          <t>sim</t>
        </is>
      </c>
      <c r="V9" s="2" t="inlineStr">
        <is>
          <t>MEIO AMBIENTE</t>
        </is>
      </c>
      <c r="W9" s="2" t="inlineStr">
        <is>
          <t>DESCARGA ATMOSFERICA</t>
        </is>
      </c>
      <c r="X9" s="2" t="inlineStr">
        <is>
          <t>TRANSFORMADOR</t>
        </is>
      </c>
      <c r="Y9" s="2" t="inlineStr">
        <is>
          <t>FALTANDO FASE INTERNAMENTE</t>
        </is>
      </c>
      <c r="Z9" s="4" t="inlineStr">
        <is>
          <t>SIM</t>
        </is>
      </c>
      <c r="AA9" s="4" t="inlineStr">
        <is>
          <t>leitura caso a caso</t>
        </is>
      </c>
      <c r="AB9" s="4"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AC9" s="2" t="inlineStr">
        <is>
          <t>bucha secundaria queimada para raio queimado e chave fusivel com defeito 19,9kv</t>
        </is>
      </c>
      <c r="AD9" s="2" t="inlineStr">
        <is>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is>
      </c>
    </row>
    <row r="10" ht="30" customHeight="1">
      <c r="A10" s="2" t="inlineStr">
        <is>
          <t>DG-RD-PO 00158/2026</t>
        </is>
      </c>
      <c r="B10" s="2" t="inlineStr">
        <is>
          <t>fev</t>
        </is>
      </c>
      <c r="C10" s="3" t="inlineStr">
        <is>
          <t>Sem interrupção comprovada</t>
        </is>
      </c>
      <c r="D10" s="2" t="inlineStr">
        <is>
          <t>Fora da janela</t>
        </is>
      </c>
      <c r="E10" s="2" t="inlineStr">
        <is>
          <t>EXPURGO</t>
        </is>
      </c>
      <c r="F10" s="2" t="inlineStr">
        <is>
          <t>QUEIMADO</t>
        </is>
      </c>
      <c r="G10" s="2" t="inlineStr">
        <is>
          <t>esteira 1.582</t>
        </is>
      </c>
      <c r="H10" s="2" t="inlineStr">
        <is>
          <t>FORA DA JANELA DA CRÍTICA</t>
        </is>
      </c>
      <c r="I10" s="2" t="n">
        <v>5710045026</v>
      </c>
      <c r="J10" s="2" t="inlineStr">
        <is>
          <t>DG-MLPO01  000035/2026</t>
        </is>
      </c>
      <c r="K10" s="2" t="n">
        <v>312600123</v>
      </c>
      <c r="L10" s="2" t="inlineStr">
        <is>
          <t>2026-02-03 21:03</t>
        </is>
      </c>
      <c r="M10" s="2" t="inlineStr">
        <is>
          <t>2026-02-04 20:50</t>
        </is>
      </c>
      <c r="N10" s="2" t="inlineStr">
        <is>
          <t>FORMS SUBST DE TRANSFORMADOR</t>
        </is>
      </c>
      <c r="O10" s="2" t="inlineStr">
        <is>
          <t>DG-RD-PO</t>
        </is>
      </c>
      <c r="P10" s="2" t="inlineStr">
        <is>
          <t>PONTE ALTA DO TOCANTINS</t>
        </is>
      </c>
      <c r="Q10" s="2" t="inlineStr">
        <is>
          <t>QUEIMADO</t>
        </is>
      </c>
      <c r="R10" s="2" t="inlineStr">
        <is>
          <t>DESCARGA ATMOSFÉRICA</t>
        </is>
      </c>
      <c r="S10" s="2" t="inlineStr">
        <is>
          <t>371259</t>
        </is>
      </c>
      <c r="T10" s="2" t="n">
        <v>472337</v>
      </c>
      <c r="U10" s="2" t="inlineStr">
        <is>
          <t>sim</t>
        </is>
      </c>
      <c r="V10" s="2" t="n"/>
      <c r="W10" s="2" t="n"/>
      <c r="X10" s="2" t="n"/>
      <c r="Y10" s="2" t="n"/>
      <c r="Z10" s="4" t="inlineStr">
        <is>
          <t>SIM</t>
        </is>
      </c>
      <c r="AA10" s="4" t="inlineStr">
        <is>
          <t>leitura caso a caso</t>
        </is>
      </c>
      <c r="AB10" s="4" t="inlineStr">
        <is>
          <t>Fora do indicador: a SS não cai na janela de nenhuma interrupção.</t>
        </is>
      </c>
      <c r="AC10" s="2" t="inlineStr">
        <is>
          <t>TR 571004502615KVATENSAO 19,9PARA RAIO DANIFICADO ACESSO LIVRE 026OP01</t>
        </is>
      </c>
      <c r="AD10" s="2" t="inlineStr">
        <is>
          <t xml:space="preserve">medido_ 
emergencial_ 
TR 5710045026 
15KVA 
TENSAO 19,9 
PARA RAIO DANIFICADO  
ACESSO LIVRE  
026OP01 
</t>
        </is>
      </c>
    </row>
    <row r="11" ht="30" customHeight="1">
      <c r="A11" s="2" t="inlineStr">
        <is>
          <t>DG-RD-PO 00160/2026</t>
        </is>
      </c>
      <c r="B11" s="2" t="inlineStr">
        <is>
          <t>fev</t>
        </is>
      </c>
      <c r="C11" s="3" t="inlineStr">
        <is>
          <t>Sem interrupção comprovada</t>
        </is>
      </c>
      <c r="D11" s="2" t="inlineStr">
        <is>
          <t>Fora da janela</t>
        </is>
      </c>
      <c r="E11" s="2" t="inlineStr">
        <is>
          <t>EXPURGO</t>
        </is>
      </c>
      <c r="F11" s="2" t="inlineStr">
        <is>
          <t>QUEIMADO</t>
        </is>
      </c>
      <c r="G11" s="2" t="inlineStr">
        <is>
          <t>esteira 1.582</t>
        </is>
      </c>
      <c r="H11" s="2" t="inlineStr">
        <is>
          <t>FORA DA JANELA DA CRÍTICA</t>
        </is>
      </c>
      <c r="I11" s="2" t="n">
        <v>5753553037</v>
      </c>
      <c r="J11" s="2" t="inlineStr">
        <is>
          <t>DG-MPDG01  000048/2026</t>
        </is>
      </c>
      <c r="K11" s="2" t="n">
        <v>312600110</v>
      </c>
      <c r="L11" s="2" t="inlineStr">
        <is>
          <t>2026-02-04 09:56</t>
        </is>
      </c>
      <c r="M11" s="2" t="inlineStr">
        <is>
          <t>2026-02-01 14:55</t>
        </is>
      </c>
      <c r="N11" s="2" t="inlineStr">
        <is>
          <t>FORMS SUBST DE TRANSFORMADOR</t>
        </is>
      </c>
      <c r="O11" s="2" t="inlineStr">
        <is>
          <t>DG-RD-PO</t>
        </is>
      </c>
      <c r="P11" s="2" t="inlineStr">
        <is>
          <t>BREJINHO DE NAZARE</t>
        </is>
      </c>
      <c r="Q11" s="2" t="inlineStr">
        <is>
          <t>QUEIMADO</t>
        </is>
      </c>
      <c r="R11" s="2" t="inlineStr">
        <is>
          <t>DESCARGA ATMOSFÉRICA</t>
        </is>
      </c>
      <c r="S11" s="2" t="inlineStr">
        <is>
          <t>221122</t>
        </is>
      </c>
      <c r="T11" s="2" t="n">
        <v>1657795</v>
      </c>
      <c r="U11" s="2" t="inlineStr">
        <is>
          <t>sim</t>
        </is>
      </c>
      <c r="V11" s="2" t="n"/>
      <c r="W11" s="2" t="n"/>
      <c r="X11" s="2" t="n"/>
      <c r="Y11" s="2" t="n"/>
      <c r="Z11" s="4" t="inlineStr">
        <is>
          <t>SIM</t>
        </is>
      </c>
      <c r="AA11" s="4" t="inlineStr">
        <is>
          <t>leitura caso a caso</t>
        </is>
      </c>
      <c r="AB11" s="4" t="inlineStr">
        <is>
          <t>Fora do indicador: a SS não cai na janela de nenhuma interrupção.</t>
        </is>
      </c>
      <c r="AC11" s="2" t="inlineStr">
        <is>
          <t>TRAFO 5753553037 E PARA RAIO QUEIMADO POTENCIA: 75KVA 34500ACESSO: LIVRE</t>
        </is>
      </c>
      <c r="AD11" s="2" t="inlineStr">
        <is>
          <t xml:space="preserve">medido_ 
emergencial_ 
TRAFO 5753553037 E PARA RAIO QUEIMADO  
POTENCIA: 75KVA 34500 
ACESSO: LIVRE 
</t>
        </is>
      </c>
    </row>
    <row r="12" ht="30" customHeight="1">
      <c r="A12" s="2" t="inlineStr">
        <is>
          <t>DG-RD-PO 00178/2026</t>
        </is>
      </c>
      <c r="B12" s="2" t="inlineStr">
        <is>
          <t>fev</t>
        </is>
      </c>
      <c r="C12" s="3" t="inlineStr">
        <is>
          <t>Sem interrupção comprovada</t>
        </is>
      </c>
      <c r="D12" s="2" t="inlineStr">
        <is>
          <t>Fora da janela</t>
        </is>
      </c>
      <c r="E12" s="2" t="inlineStr">
        <is>
          <t>EXPURGO</t>
        </is>
      </c>
      <c r="F12" s="2" t="inlineStr">
        <is>
          <t>QUEIMADO</t>
        </is>
      </c>
      <c r="G12" s="2" t="inlineStr">
        <is>
          <t>esteira 1.582</t>
        </is>
      </c>
      <c r="H12" s="2" t="inlineStr">
        <is>
          <t>FORA DA JANELA DA CRÍTICA</t>
        </is>
      </c>
      <c r="I12" s="2" t="n">
        <v>5700861026</v>
      </c>
      <c r="J12" s="2" t="inlineStr">
        <is>
          <t>DG-MLPO02  000041/2026</t>
        </is>
      </c>
      <c r="K12" s="2" t="n">
        <v>312600161</v>
      </c>
      <c r="L12" s="2" t="inlineStr">
        <is>
          <t>2026-02-11 23:46</t>
        </is>
      </c>
      <c r="M12" s="2" t="inlineStr">
        <is>
          <t>2026-02-12 18:43</t>
        </is>
      </c>
      <c r="N12" s="2" t="inlineStr">
        <is>
          <t>FORMS SUBST DE TRANSFORMADOR</t>
        </is>
      </c>
      <c r="O12" s="2" t="inlineStr">
        <is>
          <t>DG-RD-PO</t>
        </is>
      </c>
      <c r="P12" s="2" t="inlineStr">
        <is>
          <t>PONTE ALTA DO TOCANTINS</t>
        </is>
      </c>
      <c r="Q12" s="2" t="inlineStr">
        <is>
          <t>QUEIMADO</t>
        </is>
      </c>
      <c r="R12" s="2" t="inlineStr">
        <is>
          <t>DESCARGA ATMOSFÉRICA</t>
        </is>
      </c>
      <c r="S12" s="2" t="inlineStr">
        <is>
          <t>184945</t>
        </is>
      </c>
      <c r="T12" s="2" t="n">
        <v>339337</v>
      </c>
      <c r="U12" s="2" t="inlineStr">
        <is>
          <t>sim</t>
        </is>
      </c>
      <c r="V12" s="2" t="n"/>
      <c r="W12" s="2" t="n"/>
      <c r="X12" s="2" t="n"/>
      <c r="Y12" s="2" t="n"/>
      <c r="Z12" s="4" t="inlineStr">
        <is>
          <t>SIM</t>
        </is>
      </c>
      <c r="AA12" s="4" t="inlineStr">
        <is>
          <t>leitura caso a caso</t>
        </is>
      </c>
      <c r="AB12" s="4" t="inlineStr">
        <is>
          <t>Fora do indicador: a SS não cai na janela de nenhuma interrupção.</t>
        </is>
      </c>
      <c r="AC12" s="2" t="inlineStr">
        <is>
          <t>Trafo 5700861026 de 15kva e para-raio queimado, Tensão 19,9kv, Acesso para camionete 4x, Rural de Ponte Alta, faz. IND FAZENDA PRODUCAO, 0 - LPT-14877 FAZ PRODUCAO</t>
        </is>
      </c>
      <c r="AD12" s="2" t="inlineStr">
        <is>
          <t xml:space="preserve">medido_ 
emergencial_ 
substituição de trafo queimado rdr ponte alta 
</t>
        </is>
      </c>
    </row>
    <row r="13" ht="30" customHeight="1">
      <c r="A13" s="2" t="inlineStr">
        <is>
          <t>DOLP-RD-PA 00177/2026</t>
        </is>
      </c>
      <c r="B13" s="2" t="inlineStr">
        <is>
          <t>fev</t>
        </is>
      </c>
      <c r="C13" s="3" t="inlineStr">
        <is>
          <t>Sem interrupção comprovada</t>
        </is>
      </c>
      <c r="D13" s="2" t="inlineStr">
        <is>
          <t>Fora da janela</t>
        </is>
      </c>
      <c r="E13" s="2" t="inlineStr">
        <is>
          <t>EXPURGO</t>
        </is>
      </c>
      <c r="F13" s="2" t="inlineStr">
        <is>
          <t>QUEIMADO</t>
        </is>
      </c>
      <c r="G13" s="2" t="inlineStr">
        <is>
          <t>esteira 1.582</t>
        </is>
      </c>
      <c r="H13" s="2" t="inlineStr">
        <is>
          <t>FORA DA JANELA DA CRÍTICA</t>
        </is>
      </c>
      <c r="I13" s="2" t="n">
        <v>5755307026</v>
      </c>
      <c r="J13" s="2" t="inlineStr">
        <is>
          <t>DLP-MLPA01  000032/2026</t>
        </is>
      </c>
      <c r="K13" s="2" t="n">
        <v>112600258</v>
      </c>
      <c r="L13" s="2" t="inlineStr">
        <is>
          <t>2026-02-03 08:31</t>
        </is>
      </c>
      <c r="M13" s="2" t="inlineStr">
        <is>
          <t>2026-02-01 12:00</t>
        </is>
      </c>
      <c r="N13" s="2" t="inlineStr">
        <is>
          <t>FORMS SUBST DE TRANSFORMADOR</t>
        </is>
      </c>
      <c r="O13" s="2" t="inlineStr">
        <is>
          <t>DOLP-RD-PA</t>
        </is>
      </c>
      <c r="P13" s="2" t="inlineStr">
        <is>
          <t>PONTE ALTA DO TOCANTINS</t>
        </is>
      </c>
      <c r="Q13" s="2" t="inlineStr">
        <is>
          <t>QUEIMADO</t>
        </is>
      </c>
      <c r="R13" s="2" t="inlineStr">
        <is>
          <t>DESCARGA ATMOSFÉRICA</t>
        </is>
      </c>
      <c r="S13" s="2" t="inlineStr">
        <is>
          <t>1026962</t>
        </is>
      </c>
      <c r="T13" s="2" t="n">
        <v>287170</v>
      </c>
      <c r="U13" s="2" t="inlineStr">
        <is>
          <t>sim</t>
        </is>
      </c>
      <c r="V13" s="2" t="n"/>
      <c r="W13" s="2" t="n"/>
      <c r="X13" s="2" t="n"/>
      <c r="Y13" s="2" t="n"/>
      <c r="Z13" s="4" t="inlineStr">
        <is>
          <t>SIM</t>
        </is>
      </c>
      <c r="AA13" s="4" t="inlineStr">
        <is>
          <t>leitura caso a caso</t>
        </is>
      </c>
      <c r="AB13" s="4" t="inlineStr">
        <is>
          <t>Fora do indicador: a SS não cai na janela de nenhuma interrupção.</t>
        </is>
      </c>
      <c r="AC13" s="2" t="inlineStr">
        <is>
          <t>Segundo informações da equipe 026OP03, o 5755307026 de 15kVA, tensão 19.9V, para raio está ok, acesso livre somente pra caminhonete.</t>
        </is>
      </c>
      <c r="AD13" s="2"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14" ht="30" customHeight="1">
      <c r="A14" s="2" t="inlineStr">
        <is>
          <t>ETO-RD-AR 00204/2026</t>
        </is>
      </c>
      <c r="B14" s="2" t="inlineStr">
        <is>
          <t>fev</t>
        </is>
      </c>
      <c r="C14" s="3" t="inlineStr">
        <is>
          <t>Sem interrupção comprovada</t>
        </is>
      </c>
      <c r="D14" s="2" t="inlineStr">
        <is>
          <t>Fora da janela</t>
        </is>
      </c>
      <c r="E14" s="2" t="inlineStr">
        <is>
          <t>EXPURGO</t>
        </is>
      </c>
      <c r="F14" s="2" t="inlineStr">
        <is>
          <t>QUEIMADO</t>
        </is>
      </c>
      <c r="G14" s="2" t="inlineStr">
        <is>
          <t>esteira 1.582</t>
        </is>
      </c>
      <c r="H14" s="2" t="inlineStr">
        <is>
          <t>FORA DA JANELA DA CRÍTICA</t>
        </is>
      </c>
      <c r="I14" s="2" t="n">
        <v>5723118030</v>
      </c>
      <c r="J14" s="2" t="inlineStr">
        <is>
          <t>ENC-MLAR02  000018/2026</t>
        </is>
      </c>
      <c r="K14" s="2" t="n">
        <v>612600132</v>
      </c>
      <c r="L14" s="2" t="inlineStr">
        <is>
          <t>2026-02-02 07:07</t>
        </is>
      </c>
      <c r="M14" s="2" t="inlineStr">
        <is>
          <t>2026-01-31 19:26</t>
        </is>
      </c>
      <c r="N14" s="2" t="inlineStr">
        <is>
          <t>FORMS SUBST DE TRANSFORMADOR</t>
        </is>
      </c>
      <c r="O14" s="2" t="inlineStr">
        <is>
          <t>ETO-RD-AR</t>
        </is>
      </c>
      <c r="P14" s="2" t="inlineStr">
        <is>
          <t>XAMBIOA</t>
        </is>
      </c>
      <c r="Q14" s="2" t="inlineStr">
        <is>
          <t>QUEIMADO</t>
        </is>
      </c>
      <c r="R14" s="2" t="inlineStr">
        <is>
          <t>SOBRECARGA</t>
        </is>
      </c>
      <c r="S14" s="2" t="inlineStr">
        <is>
          <t>965782</t>
        </is>
      </c>
      <c r="T14" s="2" t="n">
        <v>820232</v>
      </c>
      <c r="U14" s="2" t="inlineStr">
        <is>
          <t>sim</t>
        </is>
      </c>
      <c r="V14" s="2" t="n"/>
      <c r="W14" s="2" t="n"/>
      <c r="X14" s="2" t="n"/>
      <c r="Y14" s="2" t="n"/>
      <c r="Z14" s="4" t="inlineStr">
        <is>
          <t>SIM</t>
        </is>
      </c>
      <c r="AA14" s="4" t="inlineStr">
        <is>
          <t>leitura caso a caso</t>
        </is>
      </c>
      <c r="AB14" s="4" t="inlineStr">
        <is>
          <t>Fora do indicador: a SS não cai na janela de nenhuma interrupção.</t>
        </is>
      </c>
      <c r="AC14" s="2" t="inlineStr">
        <is>
          <t>EQUIPE 030OP01TRAFO QUEIMADO 5723118030 potencia 10KVA tensão 34.5KV E RECUPERAR  BT ROMPIDAACESSO CAMINHONETE</t>
        </is>
      </c>
      <c r="AD14" s="2" t="inlineStr">
        <is>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is>
      </c>
    </row>
    <row r="15" ht="30" customHeight="1">
      <c r="A15" s="2" t="inlineStr">
        <is>
          <t>ETO-RD-AR 00268/2026</t>
        </is>
      </c>
      <c r="B15" s="2" t="inlineStr">
        <is>
          <t>fev</t>
        </is>
      </c>
      <c r="C15" s="3" t="inlineStr">
        <is>
          <t>Sem interrupção comprovada</t>
        </is>
      </c>
      <c r="D15" s="2" t="inlineStr">
        <is>
          <t>Fora da janela</t>
        </is>
      </c>
      <c r="E15" s="2" t="inlineStr">
        <is>
          <t>EXPURGO</t>
        </is>
      </c>
      <c r="F15" s="2" t="inlineStr">
        <is>
          <t>QUEIMADO</t>
        </is>
      </c>
      <c r="G15" s="2" t="inlineStr">
        <is>
          <t>esteira 1.582</t>
        </is>
      </c>
      <c r="H15" s="2" t="inlineStr">
        <is>
          <t>FORA DA JANELA DA CRÍTICA</t>
        </is>
      </c>
      <c r="I15" s="2" t="n">
        <v>5700382016</v>
      </c>
      <c r="J15" s="2" t="inlineStr">
        <is>
          <t>ENC-MLAR01  000077/2026</t>
        </is>
      </c>
      <c r="K15" s="2" t="n">
        <v>612600167</v>
      </c>
      <c r="L15" s="2" t="inlineStr">
        <is>
          <t>2026-02-08 11:20</t>
        </is>
      </c>
      <c r="M15" s="2" t="inlineStr">
        <is>
          <t>2026-02-09 18:35</t>
        </is>
      </c>
      <c r="N15" s="2" t="inlineStr">
        <is>
          <t>FORMS SUBST DE TRANSFORMADOR</t>
        </is>
      </c>
      <c r="O15" s="2" t="inlineStr">
        <is>
          <t>ETO-RD-AR</t>
        </is>
      </c>
      <c r="P15" s="2" t="inlineStr">
        <is>
          <t>WANDERLANDIA</t>
        </is>
      </c>
      <c r="Q15" s="2" t="inlineStr">
        <is>
          <t>QUEIMADO</t>
        </is>
      </c>
      <c r="R15" s="2" t="inlineStr">
        <is>
          <t>DESCARGA ATMOSFÉRICA</t>
        </is>
      </c>
      <c r="S15" s="2" t="inlineStr">
        <is>
          <t>179561</t>
        </is>
      </c>
      <c r="T15" s="2" t="n">
        <v>820183</v>
      </c>
      <c r="U15" s="2" t="inlineStr">
        <is>
          <t>sim</t>
        </is>
      </c>
      <c r="V15" s="2" t="n"/>
      <c r="W15" s="2" t="n"/>
      <c r="X15" s="2" t="n"/>
      <c r="Y15" s="2" t="n"/>
      <c r="Z15" s="4" t="inlineStr">
        <is>
          <t>SIM</t>
        </is>
      </c>
      <c r="AA15" s="4" t="inlineStr">
        <is>
          <t>leitura caso a caso</t>
        </is>
      </c>
      <c r="AB15" s="4" t="inlineStr">
        <is>
          <t>Fora do indicador: a SS não cai na janela de nenhuma interrupção.</t>
        </is>
      </c>
      <c r="AC15" s="2" t="inlineStr">
        <is>
          <t>trafo queimado, caiu uma descarga no mesmo pararaio queimado</t>
        </is>
      </c>
      <c r="AD15" s="2" t="inlineStr">
        <is>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is>
      </c>
    </row>
    <row r="16" ht="30" customHeight="1">
      <c r="A16" s="2" t="inlineStr">
        <is>
          <t>ETO-RD-GR 00238/2026</t>
        </is>
      </c>
      <c r="B16" s="2" t="inlineStr">
        <is>
          <t>fev</t>
        </is>
      </c>
      <c r="C16" s="3" t="inlineStr">
        <is>
          <t>Sem interrupção comprovada</t>
        </is>
      </c>
      <c r="D16" s="2" t="inlineStr">
        <is>
          <t>Fora da janela</t>
        </is>
      </c>
      <c r="E16" s="2" t="inlineStr">
        <is>
          <t>EXPURGO</t>
        </is>
      </c>
      <c r="F16" s="2" t="inlineStr">
        <is>
          <t>QUEIMADO</t>
        </is>
      </c>
      <c r="G16" s="2" t="inlineStr">
        <is>
          <t>esteira 1.582</t>
        </is>
      </c>
      <c r="H16" s="2" t="inlineStr">
        <is>
          <t>FORA DA JANELA DA CRÍTICA</t>
        </is>
      </c>
      <c r="I16" s="2" t="n">
        <v>5710058153</v>
      </c>
      <c r="J16" s="2" t="inlineStr">
        <is>
          <t>ETO-RD-GR  000311/2026</t>
        </is>
      </c>
      <c r="K16" s="2" t="n">
        <v>712600155</v>
      </c>
      <c r="L16" s="2" t="inlineStr">
        <is>
          <t>2026-02-16 12:35</t>
        </is>
      </c>
      <c r="M16" s="2" t="inlineStr">
        <is>
          <t>2026-02-17 20:56</t>
        </is>
      </c>
      <c r="N16" s="2" t="inlineStr">
        <is>
          <t>FORMS SUBST DE TRANSFORMADOR</t>
        </is>
      </c>
      <c r="O16" s="2" t="inlineStr">
        <is>
          <t>ETO-RD-GR</t>
        </is>
      </c>
      <c r="P16" s="2" t="inlineStr">
        <is>
          <t>BERNARDO SAYAO</t>
        </is>
      </c>
      <c r="Q16" s="2" t="inlineStr">
        <is>
          <t>QUEIMADO</t>
        </is>
      </c>
      <c r="R16" s="2" t="inlineStr">
        <is>
          <t>DESCARGA ATMOSFÉRICA</t>
        </is>
      </c>
      <c r="S16" s="2" t="n"/>
      <c r="T16" s="2" t="n"/>
      <c r="U16" s="2" t="inlineStr">
        <is>
          <t>não</t>
        </is>
      </c>
      <c r="V16" s="2" t="n"/>
      <c r="W16" s="2" t="n"/>
      <c r="X16" s="2" t="n"/>
      <c r="Y16" s="2" t="n"/>
      <c r="Z16" s="4" t="inlineStr">
        <is>
          <t>SIM</t>
        </is>
      </c>
      <c r="AA16" s="4" t="inlineStr">
        <is>
          <t>leitura caso a caso</t>
        </is>
      </c>
      <c r="AB16" s="4" t="inlineStr">
        <is>
          <t>Fora do indicador: a SS não cai na janela de nenhuma interrupção.</t>
        </is>
      </c>
      <c r="AC16" s="2" t="inlineStr">
        <is>
          <t>TR-5710058153 Queimadopara raios QUEIMADO potência 15kvatensão 34,5kvacesso CAMINHONETEequipe 025op01 tel-63992452770</t>
        </is>
      </c>
      <c r="AD16" s="2" t="inlineStr">
        <is>
          <t>TR-5710058153 Queimado 
para raios QUEIMADO  
potência 15kva 
tensão 34,5kv 
acesso CAMINHONETE 
equipe 025op01 tel-63992452770</t>
        </is>
      </c>
    </row>
    <row r="17" ht="30" customHeight="1">
      <c r="A17" s="2" t="inlineStr">
        <is>
          <t>DOLP-RD-PA 00338/2026</t>
        </is>
      </c>
      <c r="B17" s="2" t="inlineStr">
        <is>
          <t>mar</t>
        </is>
      </c>
      <c r="C17" s="3" t="inlineStr">
        <is>
          <t>Sem interrupção comprovada</t>
        </is>
      </c>
      <c r="D17" s="2" t="inlineStr">
        <is>
          <t>Fora da janela</t>
        </is>
      </c>
      <c r="E17" s="2" t="inlineStr">
        <is>
          <t>EXPURGO</t>
        </is>
      </c>
      <c r="F17" s="2" t="inlineStr">
        <is>
          <t>QUEIMADO</t>
        </is>
      </c>
      <c r="G17" s="2" t="inlineStr">
        <is>
          <t>esteira 1.582</t>
        </is>
      </c>
      <c r="H17" s="2" t="inlineStr">
        <is>
          <t>FORA DA JANELA DA CRÍTICA</t>
        </is>
      </c>
      <c r="I17" s="2" t="n">
        <v>5704202122</v>
      </c>
      <c r="J17" s="2" t="inlineStr">
        <is>
          <t>DLP-MPPA01  000086/2026</t>
        </is>
      </c>
      <c r="K17" s="2" t="n">
        <v>112600587</v>
      </c>
      <c r="L17" s="2" t="inlineStr">
        <is>
          <t>2026-03-10 16:17</t>
        </is>
      </c>
      <c r="M17" s="2" t="inlineStr">
        <is>
          <t>2026-03-23 08:50</t>
        </is>
      </c>
      <c r="N17" s="2" t="inlineStr">
        <is>
          <t>AVISO DE ANOMALIA</t>
        </is>
      </c>
      <c r="O17" s="2" t="inlineStr">
        <is>
          <t>DOLP-RD-PA</t>
        </is>
      </c>
      <c r="P17" s="2" t="inlineStr">
        <is>
          <t>PALMAS</t>
        </is>
      </c>
      <c r="Q17" s="2" t="inlineStr">
        <is>
          <t>QUEIMADO</t>
        </is>
      </c>
      <c r="R17" s="2" t="inlineStr">
        <is>
          <t>BUCHA DANIFICADA</t>
        </is>
      </c>
      <c r="S17" s="2" t="inlineStr">
        <is>
          <t>238663</t>
        </is>
      </c>
      <c r="T17" s="2" t="n">
        <v>267955</v>
      </c>
      <c r="U17" s="2" t="inlineStr">
        <is>
          <t>sim</t>
        </is>
      </c>
      <c r="V17" s="2" t="n"/>
      <c r="W17" s="2" t="n"/>
      <c r="X17" s="2" t="n"/>
      <c r="Y17" s="2" t="n"/>
      <c r="Z17" s="4" t="inlineStr">
        <is>
          <t>não</t>
        </is>
      </c>
      <c r="AA17" s="4" t="inlineStr">
        <is>
          <t>leitura caso a caso</t>
        </is>
      </c>
      <c r="AB17" s="4" t="inlineStr">
        <is>
          <t>Fora do indicador: a SS não cai na janela de nenhuma interrupção.</t>
        </is>
      </c>
      <c r="AC17" s="2" t="inlineStr">
        <is>
          <t>Segue esse para substituição de TF queimado (bucha do TF) 5704202122ID: 50688272</t>
        </is>
      </c>
      <c r="AD17" s="2"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18" ht="30" customHeight="1">
      <c r="A18" s="2" t="inlineStr">
        <is>
          <t>ENC-RD-PS 00376/2026</t>
        </is>
      </c>
      <c r="B18" s="2" t="inlineStr">
        <is>
          <t>mar</t>
        </is>
      </c>
      <c r="C18" s="3" t="inlineStr">
        <is>
          <t>Sem interrupção comprovada</t>
        </is>
      </c>
      <c r="D18" s="2" t="inlineStr">
        <is>
          <t>Fora da janela</t>
        </is>
      </c>
      <c r="E18" s="2" t="inlineStr">
        <is>
          <t>EXPURGO</t>
        </is>
      </c>
      <c r="F18" s="2" t="inlineStr">
        <is>
          <t>QUEIMADO</t>
        </is>
      </c>
      <c r="G18" s="2" t="inlineStr">
        <is>
          <t>esteira 1.582</t>
        </is>
      </c>
      <c r="H18" s="2" t="inlineStr">
        <is>
          <t>FORA DA JANELA DA CRÍTICA</t>
        </is>
      </c>
      <c r="I18" s="2" t="n">
        <v>5700368012</v>
      </c>
      <c r="J18" s="2" t="inlineStr">
        <is>
          <t>ENC-LMPS04  000055/2026</t>
        </is>
      </c>
      <c r="K18" s="2" t="n">
        <v>212600335</v>
      </c>
      <c r="L18" s="2" t="inlineStr">
        <is>
          <t>2026-03-20 18:48</t>
        </is>
      </c>
      <c r="M18" s="2" t="inlineStr">
        <is>
          <t>2026-03-21 12:00</t>
        </is>
      </c>
      <c r="N18" s="2" t="inlineStr">
        <is>
          <t>FORMS SUBST DE TRANSFORMADOR</t>
        </is>
      </c>
      <c r="O18" s="2" t="inlineStr">
        <is>
          <t>ENC-RD-PS</t>
        </is>
      </c>
      <c r="P18" s="2" t="inlineStr">
        <is>
          <t>DIVINOPOLIS DO TOCANTINS</t>
        </is>
      </c>
      <c r="Q18" s="2" t="inlineStr">
        <is>
          <t>QUEIMADO</t>
        </is>
      </c>
      <c r="R18" s="2" t="inlineStr">
        <is>
          <t>DESCARGA ATMOSFÉRICA</t>
        </is>
      </c>
      <c r="S18" s="2" t="inlineStr">
        <is>
          <t>473642</t>
        </is>
      </c>
      <c r="T18" s="2" t="n">
        <v>828112</v>
      </c>
      <c r="U18" s="2" t="inlineStr">
        <is>
          <t>sim</t>
        </is>
      </c>
      <c r="V18" s="2" t="n"/>
      <c r="W18" s="2" t="n"/>
      <c r="X18" s="2" t="n"/>
      <c r="Y18" s="2" t="n"/>
      <c r="Z18" s="4" t="inlineStr">
        <is>
          <t>SIM</t>
        </is>
      </c>
      <c r="AA18" s="4" t="inlineStr">
        <is>
          <t>leitura caso a caso</t>
        </is>
      </c>
      <c r="AB18" s="4" t="inlineStr">
        <is>
          <t>Fora do indicador: a SS não cai na janela de nenhuma interrupção.</t>
        </is>
      </c>
      <c r="AC18" s="2" t="inlineStr">
        <is>
          <t>Segue ss para tratativa com equipe de manutençao o quanto antessubstituir trafo 5700368012 queimado na rdr de divinopoles</t>
        </is>
      </c>
      <c r="AD18" s="2" t="inlineStr">
        <is>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is>
      </c>
    </row>
    <row r="19" ht="30" customHeight="1">
      <c r="A19" s="2" t="inlineStr">
        <is>
          <t>ETO-RD-AR 00463/2026</t>
        </is>
      </c>
      <c r="B19" s="2" t="inlineStr">
        <is>
          <t>mar</t>
        </is>
      </c>
      <c r="C19" s="3" t="inlineStr">
        <is>
          <t>Sem interrupção comprovada</t>
        </is>
      </c>
      <c r="D19" s="2" t="inlineStr">
        <is>
          <t>Fora da janela</t>
        </is>
      </c>
      <c r="E19" s="2" t="inlineStr">
        <is>
          <t>EXPURGO</t>
        </is>
      </c>
      <c r="F19" s="2" t="inlineStr">
        <is>
          <t>AVARIADO</t>
        </is>
      </c>
      <c r="G19" s="2" t="inlineStr">
        <is>
          <t>esteira 1.582</t>
        </is>
      </c>
      <c r="H19" s="2" t="inlineStr">
        <is>
          <t>FORA DA JANELA DA CRÍTICA</t>
        </is>
      </c>
      <c r="I19" s="2" t="n">
        <v>5701543077</v>
      </c>
      <c r="J19" s="2" t="inlineStr">
        <is>
          <t>ENC-MLAR05  000152/2026</t>
        </is>
      </c>
      <c r="K19" s="2" t="n">
        <v>612600303</v>
      </c>
      <c r="L19" s="2" t="inlineStr">
        <is>
          <t>2026-03-11 21:10</t>
        </is>
      </c>
      <c r="M19" s="2" t="inlineStr">
        <is>
          <t>2026-03-12 15:50</t>
        </is>
      </c>
      <c r="N19" s="2" t="inlineStr">
        <is>
          <t>FORMS SUBST DE TRANSFORMADOR</t>
        </is>
      </c>
      <c r="O19" s="2" t="inlineStr">
        <is>
          <t>ETO-RD-AR</t>
        </is>
      </c>
      <c r="P19" s="2" t="inlineStr">
        <is>
          <t>GOIATINS</t>
        </is>
      </c>
      <c r="Q19" s="2" t="inlineStr">
        <is>
          <t>AVARIADO</t>
        </is>
      </c>
      <c r="R19" s="2" t="inlineStr">
        <is>
          <t>VAZAMENTO DE ÓLEO</t>
        </is>
      </c>
      <c r="S19" s="2" t="inlineStr">
        <is>
          <t>239355</t>
        </is>
      </c>
      <c r="T19" s="2" t="n">
        <v>379977</v>
      </c>
      <c r="U19" s="2" t="inlineStr">
        <is>
          <t>sim</t>
        </is>
      </c>
      <c r="V19" s="2" t="n"/>
      <c r="W19" s="2" t="n"/>
      <c r="X19" s="2" t="n"/>
      <c r="Y19" s="2" t="n"/>
      <c r="Z19" s="4" t="inlineStr">
        <is>
          <t>não</t>
        </is>
      </c>
      <c r="AA19" s="4" t="inlineStr">
        <is>
          <t>leitura caso a caso</t>
        </is>
      </c>
      <c r="AB19" s="4" t="inlineStr">
        <is>
          <t>Fora do indicador: a SS não cai na janela de nenhuma interrupção.</t>
        </is>
      </c>
      <c r="AC19" s="2" t="inlineStr">
        <is>
          <t>TR-5701543077 vazando oleo para raios bompotência 5kvatensão 34,5kvacesso livreequipe 077op02 tel-63992409718</t>
        </is>
      </c>
      <c r="AD19" s="2" t="inlineStr">
        <is>
          <t xml:space="preserve">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 
</t>
        </is>
      </c>
    </row>
    <row r="20" ht="30" customHeight="1">
      <c r="A20" s="2" t="inlineStr">
        <is>
          <t>ETO-RD-AR 00551/2026</t>
        </is>
      </c>
      <c r="B20" s="2" t="inlineStr">
        <is>
          <t>mar</t>
        </is>
      </c>
      <c r="C20" s="3" t="inlineStr">
        <is>
          <t>Sem interrupção comprovada</t>
        </is>
      </c>
      <c r="D20" s="2" t="inlineStr">
        <is>
          <t>Fora da janela</t>
        </is>
      </c>
      <c r="E20" s="2" t="inlineStr">
        <is>
          <t>EXPURGO</t>
        </is>
      </c>
      <c r="F20" s="2" t="inlineStr">
        <is>
          <t>QUEIMADO</t>
        </is>
      </c>
      <c r="G20" s="2" t="inlineStr">
        <is>
          <t>esteira 1.582</t>
        </is>
      </c>
      <c r="H20" s="2" t="inlineStr">
        <is>
          <t>FORA DA JANELA DA CRÍTICA</t>
        </is>
      </c>
      <c r="I20" s="2" t="n">
        <v>5700322060</v>
      </c>
      <c r="J20" s="2" t="inlineStr">
        <is>
          <t>ENC-MLAR01  000152/2026</t>
        </is>
      </c>
      <c r="K20" s="2" t="n">
        <v>612600337</v>
      </c>
      <c r="L20" s="2" t="inlineStr">
        <is>
          <t>2026-03-24 17:26</t>
        </is>
      </c>
      <c r="M20" s="2" t="inlineStr">
        <is>
          <t>2026-03-25 12:10</t>
        </is>
      </c>
      <c r="N20" s="2" t="inlineStr">
        <is>
          <t>FORMS SUBST DE TRANSFORMADOR</t>
        </is>
      </c>
      <c r="O20" s="2" t="inlineStr">
        <is>
          <t>ETO-RD-AR</t>
        </is>
      </c>
      <c r="P20" s="2" t="inlineStr">
        <is>
          <t>NOVA OLINDA</t>
        </is>
      </c>
      <c r="Q20" s="2" t="inlineStr">
        <is>
          <t>QUEIMADO</t>
        </is>
      </c>
      <c r="R20" s="2" t="inlineStr">
        <is>
          <t>NÃO IDENTIFICADO</t>
        </is>
      </c>
      <c r="S20" s="2" t="inlineStr">
        <is>
          <t>178008</t>
        </is>
      </c>
      <c r="T20" s="2" t="n"/>
      <c r="U20" s="2" t="inlineStr">
        <is>
          <t>não</t>
        </is>
      </c>
      <c r="V20" s="2" t="n"/>
      <c r="W20" s="2" t="n"/>
      <c r="X20" s="2" t="n"/>
      <c r="Y20" s="2" t="n"/>
      <c r="Z20" s="4" t="inlineStr">
        <is>
          <t>SIM</t>
        </is>
      </c>
      <c r="AA20" s="4" t="inlineStr">
        <is>
          <t>leitura caso a caso</t>
        </is>
      </c>
      <c r="AB20" s="4" t="inlineStr">
        <is>
          <t>Fora do indicador: a SS não cai na janela de nenhuma interrupção.</t>
        </is>
      </c>
      <c r="AC20" s="2" t="inlineStr">
        <is>
          <t>SEGUE SS DE TRAFO QUEIMADO NA RDR DE NOVA OLINDA, TRAFO DE 15KVA NA REDE DE 7.8KV, PARA RAIO QUEIMADO E ACESSO LIVRE.</t>
        </is>
      </c>
      <c r="AD20" s="2" t="inlineStr">
        <is>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is>
      </c>
    </row>
    <row r="21" ht="30" customHeight="1">
      <c r="A21" s="2" t="inlineStr">
        <is>
          <t>ETO-RD-AR 00583/2026</t>
        </is>
      </c>
      <c r="B21" s="2" t="inlineStr">
        <is>
          <t>mar</t>
        </is>
      </c>
      <c r="C21" s="3" t="inlineStr">
        <is>
          <t>Sem interrupção comprovada</t>
        </is>
      </c>
      <c r="D21" s="2" t="inlineStr">
        <is>
          <t>Fora da janela</t>
        </is>
      </c>
      <c r="E21" s="2" t="inlineStr">
        <is>
          <t>EXPURGO</t>
        </is>
      </c>
      <c r="F21" s="2" t="inlineStr">
        <is>
          <t>QUEIMADO</t>
        </is>
      </c>
      <c r="G21" s="2" t="inlineStr">
        <is>
          <t>esteira 1.582</t>
        </is>
      </c>
      <c r="H21" s="2" t="inlineStr">
        <is>
          <t>FORA DA JANELA DA CRÍTICA</t>
        </is>
      </c>
      <c r="I21" s="2" t="n">
        <v>5700799193</v>
      </c>
      <c r="J21" s="2" t="inlineStr">
        <is>
          <t>ENC-MLAR03  000036/2026</t>
        </is>
      </c>
      <c r="K21" s="2" t="n">
        <v>612600363</v>
      </c>
      <c r="L21" s="2" t="inlineStr">
        <is>
          <t>2026-03-31 20:47</t>
        </is>
      </c>
      <c r="M21" s="2" t="inlineStr">
        <is>
          <t>2026-04-01 18:43</t>
        </is>
      </c>
      <c r="N21" s="2" t="inlineStr">
        <is>
          <t>FORMS SUBST DE TRANSFORMADOR</t>
        </is>
      </c>
      <c r="O21" s="2" t="inlineStr">
        <is>
          <t>ETO-RD-AR</t>
        </is>
      </c>
      <c r="P21" s="2" t="inlineStr">
        <is>
          <t>CAMPOS LINDOS</t>
        </is>
      </c>
      <c r="Q21" s="2" t="inlineStr">
        <is>
          <t>QUEIMADO</t>
        </is>
      </c>
      <c r="R21" s="2" t="inlineStr">
        <is>
          <t>DESCARGA ATMOSFÉRICA</t>
        </is>
      </c>
      <c r="S21" s="2" t="inlineStr">
        <is>
          <t>179110</t>
        </is>
      </c>
      <c r="T21" s="2" t="n">
        <v>827956</v>
      </c>
      <c r="U21" s="2" t="inlineStr">
        <is>
          <t>sim</t>
        </is>
      </c>
      <c r="V21" s="2" t="n"/>
      <c r="W21" s="2" t="n"/>
      <c r="X21" s="2" t="n"/>
      <c r="Y21" s="2" t="n"/>
      <c r="Z21" s="4" t="inlineStr">
        <is>
          <t>SIM</t>
        </is>
      </c>
      <c r="AA21" s="4" t="inlineStr">
        <is>
          <t>leitura caso a caso</t>
        </is>
      </c>
      <c r="AB21" s="4" t="inlineStr">
        <is>
          <t>Fora do indicador: a SS não cai na janela de nenhuma interrupção.</t>
        </is>
      </c>
      <c r="AC21" s="2" t="inlineStr">
        <is>
          <t>Trafo 5700799193  15kvaPara-raio: Queimado Endereço: fazenda arueira saindo povoado RanchariaEquipe: 193op02</t>
        </is>
      </c>
      <c r="AD21" s="2" t="inlineStr">
        <is>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is>
      </c>
    </row>
    <row r="22" ht="30" customHeight="1">
      <c r="A22" s="2" t="inlineStr">
        <is>
          <t>ETO-RD-DP 00214/2026</t>
        </is>
      </c>
      <c r="B22" s="2" t="inlineStr">
        <is>
          <t>mar</t>
        </is>
      </c>
      <c r="C22" s="3" t="inlineStr">
        <is>
          <t>Sem interrupção comprovada</t>
        </is>
      </c>
      <c r="D22" s="2" t="inlineStr">
        <is>
          <t>Fora da janela</t>
        </is>
      </c>
      <c r="E22" s="2" t="inlineStr">
        <is>
          <t>EXPURGO</t>
        </is>
      </c>
      <c r="F22" s="2" t="inlineStr">
        <is>
          <t>QUEIMADO</t>
        </is>
      </c>
      <c r="G22" s="2" t="inlineStr">
        <is>
          <t>esteira 1.582</t>
        </is>
      </c>
      <c r="H22" s="2" t="inlineStr">
        <is>
          <t>FORA DA JANELA DA CRÍTICA</t>
        </is>
      </c>
      <c r="I22" s="2" t="n">
        <v>5700230116</v>
      </c>
      <c r="J22" s="2" t="inlineStr">
        <is>
          <t>ETO-MLDP01  000075/2026</t>
        </is>
      </c>
      <c r="K22" s="2" t="n">
        <v>512600126</v>
      </c>
      <c r="L22" s="2" t="inlineStr">
        <is>
          <t>2026-03-23 13:59</t>
        </is>
      </c>
      <c r="M22" s="2" t="inlineStr">
        <is>
          <t>2026-03-25 13:30</t>
        </is>
      </c>
      <c r="N22" s="2" t="inlineStr">
        <is>
          <t>FORMS SUBST DE TRANSFORMADOR</t>
        </is>
      </c>
      <c r="O22" s="2" t="inlineStr">
        <is>
          <t>ETO-RD-DP</t>
        </is>
      </c>
      <c r="P22" s="2" t="inlineStr">
        <is>
          <t>PINDORAMA DO TOCANTINS</t>
        </is>
      </c>
      <c r="Q22" s="2" t="inlineStr">
        <is>
          <t>QUEIMADO</t>
        </is>
      </c>
      <c r="R22" s="2" t="inlineStr">
        <is>
          <t>DESCARGA ATMOSFÉRICA</t>
        </is>
      </c>
      <c r="S22" s="2" t="inlineStr">
        <is>
          <t>587813</t>
        </is>
      </c>
      <c r="T22" s="2" t="n">
        <v>251616</v>
      </c>
      <c r="U22" s="2" t="inlineStr">
        <is>
          <t>sim</t>
        </is>
      </c>
      <c r="V22" s="2" t="n"/>
      <c r="W22" s="2" t="n"/>
      <c r="X22" s="2" t="n"/>
      <c r="Y22" s="2" t="n"/>
      <c r="Z22" s="4" t="inlineStr">
        <is>
          <t>SIM</t>
        </is>
      </c>
      <c r="AA22" s="4" t="inlineStr">
        <is>
          <t>leitura caso a caso</t>
        </is>
      </c>
      <c r="AB22" s="4" t="inlineStr">
        <is>
          <t>Fora do indicador: a SS não cai na janela de nenhuma interrupção.</t>
        </is>
      </c>
      <c r="AC22" s="2" t="inlineStr">
        <is>
          <t>TRANSFORMADOR QUEIMADO 5700230116 5kva e para raio queimado na 19,9 acesso caminhonete  equipe 096op01 992400102</t>
        </is>
      </c>
      <c r="AD22" s="2" t="inlineStr">
        <is>
          <t>TRANSFORMADOR QUEIMADO 5700230116 5kva e para raio queimado na 19,9 acesso caminhonete  equipe 096op01 992400102</t>
        </is>
      </c>
    </row>
    <row r="23" ht="30" customHeight="1">
      <c r="A23" s="2" t="inlineStr">
        <is>
          <t>ETO-RD-GR 00387/2026</t>
        </is>
      </c>
      <c r="B23" s="2" t="inlineStr">
        <is>
          <t>mar</t>
        </is>
      </c>
      <c r="C23" s="3" t="inlineStr">
        <is>
          <t>Sem interrupção comprovada</t>
        </is>
      </c>
      <c r="D23" s="2" t="inlineStr">
        <is>
          <t>Fora da janela</t>
        </is>
      </c>
      <c r="E23" s="2" t="inlineStr">
        <is>
          <t>EXPURGO</t>
        </is>
      </c>
      <c r="F23" s="2" t="inlineStr">
        <is>
          <t>AVARIADO</t>
        </is>
      </c>
      <c r="G23" s="2" t="inlineStr">
        <is>
          <t>esteira 1.582</t>
        </is>
      </c>
      <c r="H23" s="2" t="inlineStr">
        <is>
          <t>FORA DA JANELA DA CRÍTICA</t>
        </is>
      </c>
      <c r="I23" s="2" t="n">
        <v>5700018155</v>
      </c>
      <c r="J23" s="2" t="inlineStr">
        <is>
          <t>ENC-MLAR03  000028/2026</t>
        </is>
      </c>
      <c r="K23" s="2" t="n">
        <v>712600276</v>
      </c>
      <c r="L23" s="2" t="inlineStr">
        <is>
          <t>2026-03-27 09:49</t>
        </is>
      </c>
      <c r="M23" s="2" t="inlineStr">
        <is>
          <t>2026-03-27 17:00</t>
        </is>
      </c>
      <c r="N23" s="2" t="inlineStr">
        <is>
          <t>FORMS SUBST DE TRANSFORMADOR</t>
        </is>
      </c>
      <c r="O23" s="2" t="inlineStr">
        <is>
          <t>ETO-RD-GR</t>
        </is>
      </c>
      <c r="P23" s="2" t="inlineStr">
        <is>
          <t>PALMEIRANTE</t>
        </is>
      </c>
      <c r="Q23" s="2" t="inlineStr">
        <is>
          <t>AVARIADO</t>
        </is>
      </c>
      <c r="R23" s="2" t="inlineStr">
        <is>
          <t>VAZAMENTO DE ÓLEO</t>
        </is>
      </c>
      <c r="S23" s="2" t="inlineStr">
        <is>
          <t>352737</t>
        </is>
      </c>
      <c r="T23" s="2" t="n">
        <v>827950</v>
      </c>
      <c r="U23" s="2" t="inlineStr">
        <is>
          <t>sim</t>
        </is>
      </c>
      <c r="V23" s="2" t="n"/>
      <c r="W23" s="2" t="n"/>
      <c r="X23" s="2" t="inlineStr">
        <is>
          <t>CHAVE FUSIVEL/RELIGADORA</t>
        </is>
      </c>
      <c r="Y23" s="2" t="inlineStr">
        <is>
          <t>PORTA-FUSIVEL DANIFICADO</t>
        </is>
      </c>
      <c r="Z23" s="4" t="inlineStr">
        <is>
          <t>SIM</t>
        </is>
      </c>
      <c r="AA23" s="4" t="inlineStr">
        <is>
          <t>leitura caso a caso</t>
        </is>
      </c>
      <c r="AB23" s="4" t="inlineStr">
        <is>
          <t>Fora do indicador: a SS não cai na janela de nenhuma interrupção.</t>
        </is>
      </c>
      <c r="AC23" s="2" t="inlineStr">
        <is>
          <t>trafo 5700018155 com vazamento de óleo - 25KVA - 19,9KV - para raio queimado substituir poste 10/200 estrutura U1/S1 - danificado na base. RDU do Povoado Cicilândia RDR Palmeirante</t>
        </is>
      </c>
      <c r="AD23" s="2"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24" ht="30" customHeight="1">
      <c r="A24" s="2" t="inlineStr">
        <is>
          <t>ETO-RD-GU 00390/2026</t>
        </is>
      </c>
      <c r="B24" s="2" t="inlineStr">
        <is>
          <t>mar</t>
        </is>
      </c>
      <c r="C24" s="3" t="inlineStr">
        <is>
          <t>Sem interrupção comprovada</t>
        </is>
      </c>
      <c r="D24" s="2" t="inlineStr">
        <is>
          <t>Fora da janela</t>
        </is>
      </c>
      <c r="E24" s="2" t="inlineStr">
        <is>
          <t>EXPURGO</t>
        </is>
      </c>
      <c r="F24" s="2" t="inlineStr">
        <is>
          <t>QUEIMADO</t>
        </is>
      </c>
      <c r="G24" s="2" t="inlineStr">
        <is>
          <t>esteira 1.582</t>
        </is>
      </c>
      <c r="H24" s="2" t="inlineStr">
        <is>
          <t>FORA DA JANELA DA CRÍTICA</t>
        </is>
      </c>
      <c r="I24" s="2" t="n">
        <v>5700039076</v>
      </c>
      <c r="J24" s="2" t="inlineStr">
        <is>
          <t>DBM-MLDB03  000067/2026</t>
        </is>
      </c>
      <c r="K24" s="2" t="n">
        <v>412600331</v>
      </c>
      <c r="L24" s="2" t="inlineStr">
        <is>
          <t>2026-03-26 10:34</t>
        </is>
      </c>
      <c r="M24" s="2" t="inlineStr">
        <is>
          <t>2026-03-29 13:49</t>
        </is>
      </c>
      <c r="N24" s="2" t="inlineStr">
        <is>
          <t>FORMS SUBST DE TRANSFORMADOR</t>
        </is>
      </c>
      <c r="O24" s="2" t="inlineStr">
        <is>
          <t>ETO-RD-GU</t>
        </is>
      </c>
      <c r="P24" s="2" t="inlineStr">
        <is>
          <t>DUERE</t>
        </is>
      </c>
      <c r="Q24" s="2" t="inlineStr">
        <is>
          <t>QUEIMADO</t>
        </is>
      </c>
      <c r="R24" s="2" t="inlineStr">
        <is>
          <t>NÃO IDENTIFICADO</t>
        </is>
      </c>
      <c r="S24" s="2" t="inlineStr">
        <is>
          <t>1574224</t>
        </is>
      </c>
      <c r="T24" s="2" t="n">
        <v>828021</v>
      </c>
      <c r="U24" s="2" t="inlineStr">
        <is>
          <t>sim</t>
        </is>
      </c>
      <c r="V24" s="2" t="n"/>
      <c r="W24" s="2" t="n"/>
      <c r="X24" s="2" t="n"/>
      <c r="Y24" s="2" t="n"/>
      <c r="Z24" s="4" t="inlineStr">
        <is>
          <t>SIM</t>
        </is>
      </c>
      <c r="AA24" s="4" t="inlineStr">
        <is>
          <t>leitura caso a caso</t>
        </is>
      </c>
      <c r="AB24" s="4" t="inlineStr">
        <is>
          <t>Fora do indicador: a SS não cai na janela de nenhuma interrupção.</t>
        </is>
      </c>
      <c r="AC24" s="2" t="inlineStr">
        <is>
          <t>SEGUE SS DE TRAFO QUEIMADO NA RDR DE DUERE, TRAFO DE 15KVA NA REDE DE 19.9KV, PARA RAIO QUEIMADO E ACESSO LIVRE.</t>
        </is>
      </c>
      <c r="AD24" s="2" t="inlineStr">
        <is>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is>
      </c>
    </row>
    <row r="25" ht="30" customHeight="1">
      <c r="A25" s="2" t="inlineStr">
        <is>
          <t>ENC-RD-PS 00481/2026</t>
        </is>
      </c>
      <c r="B25" s="2" t="inlineStr">
        <is>
          <t>abr</t>
        </is>
      </c>
      <c r="C25" s="3" t="inlineStr">
        <is>
          <t>Sem interrupção comprovada</t>
        </is>
      </c>
      <c r="D25" s="2" t="inlineStr">
        <is>
          <t>Fora da janela</t>
        </is>
      </c>
      <c r="E25" s="2" t="inlineStr">
        <is>
          <t>EXPURGO</t>
        </is>
      </c>
      <c r="F25" s="2" t="inlineStr">
        <is>
          <t>QUEIMADO</t>
        </is>
      </c>
      <c r="G25" s="2" t="inlineStr">
        <is>
          <t>esteira 1.582</t>
        </is>
      </c>
      <c r="H25" s="2" t="inlineStr">
        <is>
          <t>FORA DA JANELA DA CRÍTICA</t>
        </is>
      </c>
      <c r="I25" s="2" t="n">
        <v>5701214055</v>
      </c>
      <c r="J25" s="2" t="inlineStr">
        <is>
          <t>ENC-LMPS03  000077/2026</t>
        </is>
      </c>
      <c r="K25" s="2" t="n">
        <v>212600452</v>
      </c>
      <c r="L25" s="2" t="inlineStr">
        <is>
          <t>2026-04-28 09:30</t>
        </is>
      </c>
      <c r="M25" s="2" t="inlineStr">
        <is>
          <t>2026-04-30 21:05</t>
        </is>
      </c>
      <c r="N25" s="2" t="inlineStr">
        <is>
          <t>FORMS SUBST DE TRANSFORMADOR</t>
        </is>
      </c>
      <c r="O25" s="2" t="inlineStr">
        <is>
          <t>ENC-RD-PS</t>
        </is>
      </c>
      <c r="P25" s="2" t="inlineStr">
        <is>
          <t>ARAGUACEMA</t>
        </is>
      </c>
      <c r="Q25" s="2" t="inlineStr">
        <is>
          <t>QUEIMADO</t>
        </is>
      </c>
      <c r="R25" s="2" t="inlineStr">
        <is>
          <t>VAZAMENTO DE ÓLEO</t>
        </is>
      </c>
      <c r="S25" s="2" t="inlineStr">
        <is>
          <t>723749</t>
        </is>
      </c>
      <c r="T25" s="2" t="n"/>
      <c r="U25" s="2" t="inlineStr">
        <is>
          <t>não</t>
        </is>
      </c>
      <c r="V25" s="2" t="n"/>
      <c r="W25" s="2" t="n"/>
      <c r="X25" s="2" t="n"/>
      <c r="Y25" s="2" t="n"/>
      <c r="Z25" s="4" t="inlineStr">
        <is>
          <t>SIM</t>
        </is>
      </c>
      <c r="AA25" s="4" t="inlineStr">
        <is>
          <t>leitura caso a caso</t>
        </is>
      </c>
      <c r="AB25" s="4" t="inlineStr">
        <is>
          <t>Fora do indicador: a SS não cai na janela de nenhuma interrupção.</t>
        </is>
      </c>
      <c r="AC25" s="2" t="inlineStr">
        <is>
          <t>TR 5701214055QUEIMADO ACESSO LIVRE CAMINHONETE 5KVATENSAO 34500PARA RAIO DANIFICADO 055OP01</t>
        </is>
      </c>
      <c r="AD25" s="2" t="inlineStr">
        <is>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is>
      </c>
    </row>
    <row r="26" ht="30" customHeight="1">
      <c r="A26" s="2" t="inlineStr">
        <is>
          <t>ETO-RD-AR 00774/2026</t>
        </is>
      </c>
      <c r="B26" s="2" t="inlineStr">
        <is>
          <t>abr</t>
        </is>
      </c>
      <c r="C26" s="3" t="inlineStr">
        <is>
          <t>Sem interrupção comprovada</t>
        </is>
      </c>
      <c r="D26" s="2" t="inlineStr">
        <is>
          <t>Fora da janela</t>
        </is>
      </c>
      <c r="E26" s="2" t="inlineStr">
        <is>
          <t>EXPURGO</t>
        </is>
      </c>
      <c r="F26" s="2" t="inlineStr">
        <is>
          <t>AVARIADO</t>
        </is>
      </c>
      <c r="G26" s="2" t="inlineStr">
        <is>
          <t>esteira 1.582</t>
        </is>
      </c>
      <c r="H26" s="2" t="inlineStr">
        <is>
          <t>FORA DA JANELA DA CRÍTICA</t>
        </is>
      </c>
      <c r="I26" s="2" t="n">
        <v>5743290004</v>
      </c>
      <c r="J26" s="2" t="inlineStr">
        <is>
          <t>ENC-MLAR03  000058/2026</t>
        </is>
      </c>
      <c r="K26" s="2" t="n">
        <v>612600477</v>
      </c>
      <c r="L26" s="2" t="inlineStr">
        <is>
          <t>2026-04-30 11:05</t>
        </is>
      </c>
      <c r="M26" s="2" t="inlineStr">
        <is>
          <t>2026-04-30 16:30</t>
        </is>
      </c>
      <c r="N26" s="2" t="inlineStr">
        <is>
          <t>FORMS SUBST DE TRANSFORMADOR</t>
        </is>
      </c>
      <c r="O26" s="2" t="inlineStr">
        <is>
          <t>ETO-RD-AR</t>
        </is>
      </c>
      <c r="P26" s="2" t="inlineStr">
        <is>
          <t>ARAGUAINA</t>
        </is>
      </c>
      <c r="Q26" s="2" t="inlineStr">
        <is>
          <t>AVARIADO</t>
        </is>
      </c>
      <c r="R26" s="2" t="inlineStr">
        <is>
          <t>VAZAMENTO DE ÓLEO</t>
        </is>
      </c>
      <c r="S26" s="2" t="inlineStr">
        <is>
          <t>457539</t>
        </is>
      </c>
      <c r="T26" s="2" t="n">
        <v>330076</v>
      </c>
      <c r="U26" s="2" t="inlineStr">
        <is>
          <t>sim</t>
        </is>
      </c>
      <c r="V26" s="2" t="n"/>
      <c r="W26" s="2" t="n"/>
      <c r="X26" s="2" t="n"/>
      <c r="Y26" s="2" t="n"/>
      <c r="Z26" s="4" t="inlineStr">
        <is>
          <t>SIM</t>
        </is>
      </c>
      <c r="AA26" s="4" t="inlineStr">
        <is>
          <t>leitura caso a caso</t>
        </is>
      </c>
      <c r="AB26" s="4" t="inlineStr">
        <is>
          <t>Fora do indicador: a SS não cai na janela de nenhuma interrupção.</t>
        </is>
      </c>
      <c r="AC26" s="2" t="inlineStr">
        <is>
          <t>Trafo 5743290004  75kvaAcesso: livra na RDU de AraguainaSetor: Costa esmeraldoEquipe: de manutenção encontrou o defeito vazando oléo e saindo fumaça pela bucha que foi feito reparo</t>
        </is>
      </c>
      <c r="AD26" s="2" t="inlineStr">
        <is>
          <t xml:space="preserve">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  
</t>
        </is>
      </c>
    </row>
    <row r="27" ht="30" customHeight="1">
      <c r="A27" s="2" t="inlineStr">
        <is>
          <t>ETO-RD-GR 00466/2026</t>
        </is>
      </c>
      <c r="B27" s="2" t="inlineStr">
        <is>
          <t>abr</t>
        </is>
      </c>
      <c r="C27" s="3" t="inlineStr">
        <is>
          <t>Sem interrupção comprovada</t>
        </is>
      </c>
      <c r="D27" s="2" t="inlineStr">
        <is>
          <t>Fora da janela</t>
        </is>
      </c>
      <c r="E27" s="2" t="inlineStr">
        <is>
          <t>EXPURGO</t>
        </is>
      </c>
      <c r="F27" s="2" t="inlineStr">
        <is>
          <t>QUEIMADO</t>
        </is>
      </c>
      <c r="G27" s="2" t="inlineStr">
        <is>
          <t>esteira 1.582</t>
        </is>
      </c>
      <c r="H27" s="2" t="inlineStr">
        <is>
          <t>FORA DA JANELA DA CRÍTICA</t>
        </is>
      </c>
      <c r="I27" s="2" t="n">
        <v>5710404111</v>
      </c>
      <c r="J27" s="2" t="inlineStr">
        <is>
          <t>ENC-MLGR01  000116/2026</t>
        </is>
      </c>
      <c r="K27" s="2" t="n">
        <v>712600315</v>
      </c>
      <c r="L27" s="2" t="inlineStr">
        <is>
          <t>2026-04-22 07:20</t>
        </is>
      </c>
      <c r="M27" s="2" t="inlineStr">
        <is>
          <t>2026-04-21 16:43</t>
        </is>
      </c>
      <c r="N27" s="2" t="inlineStr">
        <is>
          <t>FORMS SUBST DE TRANSFORMADOR</t>
        </is>
      </c>
      <c r="O27" s="2" t="inlineStr">
        <is>
          <t>ETO-RD-GR</t>
        </is>
      </c>
      <c r="P27" s="2" t="inlineStr">
        <is>
          <t>PEQUIZEIRO</t>
        </is>
      </c>
      <c r="Q27" s="2" t="inlineStr">
        <is>
          <t>QUEIMADO</t>
        </is>
      </c>
      <c r="R27" s="2" t="inlineStr">
        <is>
          <t>DESCARGA ATMOSFÉRICA</t>
        </is>
      </c>
      <c r="S27" s="2" t="inlineStr">
        <is>
          <t>178699</t>
        </is>
      </c>
      <c r="T27" s="2" t="n">
        <v>827778</v>
      </c>
      <c r="U27" s="2" t="inlineStr">
        <is>
          <t>sim</t>
        </is>
      </c>
      <c r="V27" s="2" t="n"/>
      <c r="W27" s="2" t="n"/>
      <c r="X27" s="2" t="inlineStr">
        <is>
          <t>TRANSFORMADOR</t>
        </is>
      </c>
      <c r="Y27" s="2" t="inlineStr">
        <is>
          <t>QUEIMADO POR DESCARGA ATMOSFERICA</t>
        </is>
      </c>
      <c r="Z27" s="4" t="inlineStr">
        <is>
          <t>SIM</t>
        </is>
      </c>
      <c r="AA27" s="4" t="inlineStr">
        <is>
          <t>leitura caso a caso</t>
        </is>
      </c>
      <c r="AB27" s="4" t="inlineStr">
        <is>
          <t>Fora do indicador: a SS não cai na janela de nenhuma interrupção.</t>
        </is>
      </c>
      <c r="AC27" s="2" t="inlineStr">
        <is>
          <t>TRAFO QUEIMADO DE 15KVA DA 19.9. PARA RAIOS QUEIMADO. ACESSO BOM. 01 CLIENTE PENALIZADO.</t>
        </is>
      </c>
      <c r="AD27" s="2" t="inlineStr">
        <is>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is>
      </c>
    </row>
    <row r="28" ht="30" customHeight="1">
      <c r="A28" s="2" t="inlineStr">
        <is>
          <t>ETO-RD-GU 00429/2026</t>
        </is>
      </c>
      <c r="B28" s="2" t="inlineStr">
        <is>
          <t>abr</t>
        </is>
      </c>
      <c r="C28" s="3" t="inlineStr">
        <is>
          <t>Sem interrupção comprovada</t>
        </is>
      </c>
      <c r="D28" s="2" t="inlineStr">
        <is>
          <t>Fora da janela</t>
        </is>
      </c>
      <c r="E28" s="2" t="inlineStr">
        <is>
          <t>EXPURGO</t>
        </is>
      </c>
      <c r="F28" s="2" t="inlineStr">
        <is>
          <t>AVARIADO</t>
        </is>
      </c>
      <c r="G28" s="2" t="inlineStr">
        <is>
          <t>esteira 1.582</t>
        </is>
      </c>
      <c r="H28" s="2" t="inlineStr">
        <is>
          <t>FORA DA JANELA DA CRÍTICA</t>
        </is>
      </c>
      <c r="I28" s="2" t="n">
        <v>5710235032</v>
      </c>
      <c r="J28" s="2" t="inlineStr">
        <is>
          <t>DBM-MLDB03  000075/2026</t>
        </is>
      </c>
      <c r="K28" s="2" t="n">
        <v>412600345</v>
      </c>
      <c r="L28" s="2" t="inlineStr">
        <is>
          <t>2026-04-06 10:49</t>
        </is>
      </c>
      <c r="M28" s="2" t="inlineStr">
        <is>
          <t>2026-04-06 22:00</t>
        </is>
      </c>
      <c r="N28" s="2" t="inlineStr">
        <is>
          <t>FORMS SUBST DE TRANSFORMADOR</t>
        </is>
      </c>
      <c r="O28" s="2" t="inlineStr">
        <is>
          <t>ETO-RD-GU</t>
        </is>
      </c>
      <c r="P28" s="2" t="inlineStr">
        <is>
          <t>NOVO PLANALTO</t>
        </is>
      </c>
      <c r="Q28" s="2" t="inlineStr">
        <is>
          <t>QUEIMADO</t>
        </is>
      </c>
      <c r="R28" s="2" t="inlineStr">
        <is>
          <t>BUCHA DANIFICADA</t>
        </is>
      </c>
      <c r="S28" s="2" t="inlineStr">
        <is>
          <t>536046</t>
        </is>
      </c>
      <c r="T28" s="2" t="n">
        <v>828113</v>
      </c>
      <c r="U28" s="2" t="inlineStr">
        <is>
          <t>sim</t>
        </is>
      </c>
      <c r="V28" s="2" t="inlineStr">
        <is>
          <t>POSTE DE AT</t>
        </is>
      </c>
      <c r="W28" s="2" t="inlineStr">
        <is>
          <t>QUEBRADO</t>
        </is>
      </c>
      <c r="X28" s="2" t="n"/>
      <c r="Y28" s="2" t="n"/>
      <c r="Z28" s="4" t="inlineStr">
        <is>
          <t>não</t>
        </is>
      </c>
      <c r="AA28" s="4" t="inlineStr">
        <is>
          <t>leitura caso a caso</t>
        </is>
      </c>
      <c r="AB28" s="4" t="inlineStr">
        <is>
          <t>Fora do indicador: a SS não cai na janela de nenhuma interrupção.</t>
        </is>
      </c>
      <c r="AC28" s="2" t="inlineStr">
        <is>
          <t>trafo 5710235032 queimado  de 15 kva rdr de araguaçu tensão 19.9 kv acesso livre  e poste quebrado id 42840335 10/300 cabo AA / 4.</t>
        </is>
      </c>
      <c r="AD28" s="2" t="inlineStr">
        <is>
          <t xml:space="preserve">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 
</t>
        </is>
      </c>
    </row>
    <row r="29" ht="30" customHeight="1">
      <c r="A29" s="2" t="inlineStr">
        <is>
          <t>DOLP-RD-PA 00643/2026</t>
        </is>
      </c>
      <c r="B29" s="2" t="inlineStr">
        <is>
          <t>jun</t>
        </is>
      </c>
      <c r="C29" s="3" t="inlineStr">
        <is>
          <t>Sem interrupção comprovada</t>
        </is>
      </c>
      <c r="D29" s="2" t="inlineStr">
        <is>
          <t>Fora da janela</t>
        </is>
      </c>
      <c r="E29" s="2" t="inlineStr">
        <is>
          <t>EXPURGO</t>
        </is>
      </c>
      <c r="F29" s="2" t="inlineStr">
        <is>
          <t>QUEIMADO</t>
        </is>
      </c>
      <c r="G29" s="2" t="inlineStr">
        <is>
          <t>esteira 1.582</t>
        </is>
      </c>
      <c r="H29" s="2" t="inlineStr">
        <is>
          <t>FORA DA JANELA DA CRÍTICA</t>
        </is>
      </c>
      <c r="I29" s="2" t="n">
        <v>5746488122</v>
      </c>
      <c r="J29" s="2" t="inlineStr">
        <is>
          <t>DLP-CTPA00  000107/2026</t>
        </is>
      </c>
      <c r="K29" s="2" t="n">
        <v>112600604</v>
      </c>
      <c r="L29" s="2" t="inlineStr">
        <is>
          <t>2026-06-07 14:26</t>
        </is>
      </c>
      <c r="M29" s="2" t="inlineStr">
        <is>
          <t>2026-06-07 18:00</t>
        </is>
      </c>
      <c r="N29" s="2" t="inlineStr">
        <is>
          <t>FORMS SUBST DE TRANSFORMADOR</t>
        </is>
      </c>
      <c r="O29" s="2" t="inlineStr">
        <is>
          <t>DOLP-RD-PA</t>
        </is>
      </c>
      <c r="P29" s="2" t="inlineStr">
        <is>
          <t>PALMAS</t>
        </is>
      </c>
      <c r="Q29" s="2" t="inlineStr">
        <is>
          <t>QUEIMADO</t>
        </is>
      </c>
      <c r="R29" s="2" t="inlineStr">
        <is>
          <t>BUCHA DANIFICADA</t>
        </is>
      </c>
      <c r="S29" s="2" t="inlineStr">
        <is>
          <t>437872</t>
        </is>
      </c>
      <c r="T29" s="2" t="n">
        <v>606278</v>
      </c>
      <c r="U29" s="2" t="inlineStr">
        <is>
          <t>sim</t>
        </is>
      </c>
      <c r="V29" s="2" t="n"/>
      <c r="W29" s="2" t="n"/>
      <c r="X29" s="2" t="n"/>
      <c r="Y29" s="2" t="n"/>
      <c r="Z29" s="4" t="inlineStr">
        <is>
          <t>SIM</t>
        </is>
      </c>
      <c r="AA29" s="4" t="inlineStr">
        <is>
          <t>leitura caso a caso</t>
        </is>
      </c>
      <c r="AB29" s="4" t="inlineStr">
        <is>
          <t>Fora do indicador: a SS não cai na janela de nenhuma interrupção.</t>
        </is>
      </c>
      <c r="AC29" s="2" t="inlineStr">
        <is>
          <t>segue nota de trafo queimado, trafo 5745488122, trafo de 45kva, tensao 34,500kv, bitola caboAA / 2, para raio danificado, acesso livre, elo 2H. ramal do piabanha</t>
        </is>
      </c>
      <c r="AD29" s="2" t="inlineStr">
        <is>
          <t xml:space="preserve">MEDIDO_ 
EMERGENCIAL_ 
segue nota de trafo queimado, trafo 5745488122, trafo de 45kva, tensao 34,500kv, bitola caboAA / 2,  
para raio danificado, acesso livre, elo 2H. ramal do piabanha 
</t>
        </is>
      </c>
    </row>
    <row r="30" ht="45" customHeight="1">
      <c r="A30" s="2" t="inlineStr">
        <is>
          <t>ENC-RD-PS 00601/2026</t>
        </is>
      </c>
      <c r="B30" s="2" t="inlineStr">
        <is>
          <t>jun</t>
        </is>
      </c>
      <c r="C30" s="3" t="inlineStr">
        <is>
          <t>Sem interrupção comprovada</t>
        </is>
      </c>
      <c r="D30" s="2" t="inlineStr">
        <is>
          <t>Fora da janela</t>
        </is>
      </c>
      <c r="E30" s="2" t="inlineStr">
        <is>
          <t>EXPURGO</t>
        </is>
      </c>
      <c r="F30" s="2" t="inlineStr">
        <is>
          <t>QUEIMADO</t>
        </is>
      </c>
      <c r="G30" s="2" t="inlineStr">
        <is>
          <t>esteira 1.582</t>
        </is>
      </c>
      <c r="H30" s="2" t="inlineStr">
        <is>
          <t>FORA DA JANELA DA CRÍTICA</t>
        </is>
      </c>
      <c r="I30" s="2" t="n">
        <v>5753306085</v>
      </c>
      <c r="J30" s="2" t="inlineStr">
        <is>
          <t>ENC-LMPS01  000152/2026</t>
        </is>
      </c>
      <c r="K30" s="2" t="n">
        <v>212600554</v>
      </c>
      <c r="L30" s="2" t="inlineStr">
        <is>
          <t>2026-06-24 12:13</t>
        </is>
      </c>
      <c r="M30" s="2" t="inlineStr">
        <is>
          <t>2026-06-25 12:55</t>
        </is>
      </c>
      <c r="N30" s="2" t="inlineStr">
        <is>
          <t>FORMS SUBST DE TRANSFORMADOR</t>
        </is>
      </c>
      <c r="O30" s="2" t="inlineStr">
        <is>
          <t>ENC-RD-PS</t>
        </is>
      </c>
      <c r="P30" s="2" t="inlineStr">
        <is>
          <t>MONTE SANTO DO TOCANTINS</t>
        </is>
      </c>
      <c r="Q30" s="2" t="inlineStr">
        <is>
          <t>QUEIMADO</t>
        </is>
      </c>
      <c r="R30" s="2" t="inlineStr">
        <is>
          <t>SOBRECARGA</t>
        </is>
      </c>
      <c r="S30" s="2" t="inlineStr">
        <is>
          <t>182924</t>
        </is>
      </c>
      <c r="T30" s="2" t="n">
        <v>602384</v>
      </c>
      <c r="U30" s="2" t="inlineStr">
        <is>
          <t>sim</t>
        </is>
      </c>
      <c r="V30" s="2" t="n"/>
      <c r="W30" s="2" t="n"/>
      <c r="X30" s="2" t="n"/>
      <c r="Y30" s="2" t="n"/>
      <c r="Z30" s="4" t="inlineStr">
        <is>
          <t>SIM</t>
        </is>
      </c>
      <c r="AA30" s="4" t="inlineStr">
        <is>
          <t>leitura caso a caso</t>
        </is>
      </c>
      <c r="AB30" s="4" t="inlineStr">
        <is>
          <t>Fora do indicador: a Crítica registra defeito aberto neste transformador, mas em data que não cabe na janela desta SS.</t>
        </is>
      </c>
      <c r="AC30" s="2" t="inlineStr">
        <is>
          <t>TRAFO QUEIMADO  5753306085 30KVA 34,5KV, QUE ATENDE GARIMPO. CARGAS A REVELIA</t>
        </is>
      </c>
      <c r="AD30" s="2" t="inlineStr">
        <is>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is>
      </c>
    </row>
    <row r="31" ht="30" customHeight="1">
      <c r="A31" s="2" t="inlineStr">
        <is>
          <t>ETO-RD-AR 00992/2026</t>
        </is>
      </c>
      <c r="B31" s="2" t="inlineStr">
        <is>
          <t>jun</t>
        </is>
      </c>
      <c r="C31" s="3" t="inlineStr">
        <is>
          <t>Sem interrupção comprovada</t>
        </is>
      </c>
      <c r="D31" s="2" t="inlineStr">
        <is>
          <t>Fora da janela</t>
        </is>
      </c>
      <c r="E31" s="2" t="inlineStr">
        <is>
          <t>EXPURGO</t>
        </is>
      </c>
      <c r="F31" s="2" t="inlineStr">
        <is>
          <t>QUEIMADO</t>
        </is>
      </c>
      <c r="G31" s="2" t="inlineStr">
        <is>
          <t>esteira 1.582</t>
        </is>
      </c>
      <c r="H31" s="2" t="inlineStr">
        <is>
          <t>FORA DA JANELA DA CRÍTICA</t>
        </is>
      </c>
      <c r="I31" s="2" t="n">
        <v>5710093157</v>
      </c>
      <c r="J31" s="2" t="inlineStr">
        <is>
          <t>ENC-MLAR01  000242/2026</t>
        </is>
      </c>
      <c r="K31" s="2" t="n">
        <v>612600627</v>
      </c>
      <c r="L31" s="2" t="inlineStr">
        <is>
          <t>2026-06-18 17:27</t>
        </is>
      </c>
      <c r="M31" s="2" t="inlineStr">
        <is>
          <t>2026-06-19 16:20</t>
        </is>
      </c>
      <c r="N31" s="2" t="inlineStr">
        <is>
          <t>FORMS SUBST DE TRANSFORMADOR</t>
        </is>
      </c>
      <c r="O31" s="2" t="inlineStr">
        <is>
          <t>ETO-RD-AR</t>
        </is>
      </c>
      <c r="P31" s="2" t="inlineStr">
        <is>
          <t>ARAGUANA</t>
        </is>
      </c>
      <c r="Q31" s="2" t="inlineStr">
        <is>
          <t>QUEIMADO</t>
        </is>
      </c>
      <c r="R31" s="2" t="inlineStr">
        <is>
          <t>NÃO IDENTIFICADO</t>
        </is>
      </c>
      <c r="S31" s="2" t="inlineStr">
        <is>
          <t>395690</t>
        </is>
      </c>
      <c r="T31" s="2" t="n"/>
      <c r="U31" s="2" t="inlineStr">
        <is>
          <t>não</t>
        </is>
      </c>
      <c r="V31" s="2" t="inlineStr">
        <is>
          <t>MEIO AMBIENTE</t>
        </is>
      </c>
      <c r="W31" s="2" t="inlineStr">
        <is>
          <t>ARVORE DE PEQUENO/ MEDIO PORTE NA REDE / NA FAIXA</t>
        </is>
      </c>
      <c r="X31" s="2" t="n"/>
      <c r="Y31" s="2" t="n"/>
      <c r="Z31" s="4" t="inlineStr">
        <is>
          <t>SIM</t>
        </is>
      </c>
      <c r="AA31" s="4" t="inlineStr">
        <is>
          <t>leitura caso a caso</t>
        </is>
      </c>
      <c r="AB31" s="4" t="inlineStr">
        <is>
          <t>Fora do indicador: a SS não cai na janela de nenhuma interrupção.</t>
        </is>
      </c>
      <c r="AC31" s="2" t="inlineStr">
        <is>
          <t>Trafo 5710093157  45kva queimadoPara-raio: QueimadoAcesso: livreEndereço: IND FAZENDA BARRA DO RIO LONTRA, 0Equipe: 030op01</t>
        </is>
      </c>
      <c r="AD31" s="2" t="inlineStr">
        <is>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is>
      </c>
    </row>
    <row r="32" ht="45" customHeight="1">
      <c r="A32" s="2" t="inlineStr">
        <is>
          <t>DOLP-RD-PA 00003/2026</t>
        </is>
      </c>
      <c r="B32" s="2" t="inlineStr">
        <is>
          <t>jan</t>
        </is>
      </c>
      <c r="C32" s="3" t="inlineStr">
        <is>
          <t>Sem interrupção comprovada</t>
        </is>
      </c>
      <c r="D32" s="2" t="inlineStr">
        <is>
          <t>Sem interrupção</t>
        </is>
      </c>
      <c r="E32" s="2" t="inlineStr">
        <is>
          <t>EXPURGO</t>
        </is>
      </c>
      <c r="F32" s="2" t="inlineStr">
        <is>
          <t>QUEIMADO</t>
        </is>
      </c>
      <c r="G32" s="2" t="inlineStr">
        <is>
          <t>esteira 1.582</t>
        </is>
      </c>
      <c r="H32" s="2" t="inlineStr">
        <is>
          <t>AUSENTE DA CRÍTICA</t>
        </is>
      </c>
      <c r="I32" s="2" t="n">
        <v>5700121151</v>
      </c>
      <c r="J32" s="2" t="inlineStr">
        <is>
          <t>DLP-CTPA01  000001/2026</t>
        </is>
      </c>
      <c r="K32" s="2" t="n">
        <v>112600438</v>
      </c>
      <c r="L32" s="2" t="inlineStr">
        <is>
          <t>2026-01-02 15:28</t>
        </is>
      </c>
      <c r="M32" s="2" t="inlineStr">
        <is>
          <t>2026-01-03 17:32</t>
        </is>
      </c>
      <c r="N32" s="2" t="inlineStr">
        <is>
          <t>FORMS SUBST DE TRANSFORMADOR</t>
        </is>
      </c>
      <c r="O32" s="2" t="inlineStr">
        <is>
          <t>DOLP-RD-PA</t>
        </is>
      </c>
      <c r="P32" s="2" t="inlineStr">
        <is>
          <t>SANTA TEREZA DO TOCANTINS</t>
        </is>
      </c>
      <c r="Q32" s="2" t="inlineStr">
        <is>
          <t>QUEIMADO</t>
        </is>
      </c>
      <c r="R32" s="2" t="inlineStr">
        <is>
          <t>NÃO IDENTIFICADO</t>
        </is>
      </c>
      <c r="S32" s="2" t="inlineStr">
        <is>
          <t>185859</t>
        </is>
      </c>
      <c r="T32" s="2" t="n">
        <v>454942</v>
      </c>
      <c r="U32" s="2" t="inlineStr">
        <is>
          <t>sim</t>
        </is>
      </c>
      <c r="V32" s="2" t="n"/>
      <c r="W32" s="2" t="n"/>
      <c r="X32" s="2" t="n"/>
      <c r="Y32" s="2" t="n"/>
      <c r="Z32" s="4" t="inlineStr">
        <is>
          <t>SIM</t>
        </is>
      </c>
      <c r="AA32" s="4" t="inlineStr">
        <is>
          <t>leitura caso a caso</t>
        </is>
      </c>
      <c r="AB32" s="4" t="inlineStr">
        <is>
          <t>Fora do indicador: o ativo não existe na base de interrupção. Sem registro de interrupção não há evento a medir.</t>
        </is>
      </c>
      <c r="AC32" s="2"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D32" s="2" t="inlineStr">
        <is>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is>
      </c>
    </row>
    <row r="33" ht="90" customHeight="1">
      <c r="A33" s="2" t="inlineStr">
        <is>
          <t>DOLP-RD-PA 00125/2026</t>
        </is>
      </c>
      <c r="B33" s="2" t="inlineStr">
        <is>
          <t>jan</t>
        </is>
      </c>
      <c r="C33" s="3" t="inlineStr">
        <is>
          <t>Sem interrupção comprovada</t>
        </is>
      </c>
      <c r="D33" s="2" t="inlineStr">
        <is>
          <t>Sem interrupção</t>
        </is>
      </c>
      <c r="E33" s="2" t="inlineStr">
        <is>
          <t>EXPURGO</t>
        </is>
      </c>
      <c r="F33" s="2" t="inlineStr">
        <is>
          <t>AVARIADO</t>
        </is>
      </c>
      <c r="G33" s="2" t="inlineStr">
        <is>
          <t>esteira 1.582</t>
        </is>
      </c>
      <c r="H33" s="2" t="inlineStr">
        <is>
          <t>AUSENTE DA CRÍTICA</t>
        </is>
      </c>
      <c r="I33" s="2" t="n">
        <v>5700307083</v>
      </c>
      <c r="J33" s="2" t="inlineStr">
        <is>
          <t>DLP-MLPA03  000004/2026</t>
        </is>
      </c>
      <c r="K33" s="2" t="n">
        <v>112600148</v>
      </c>
      <c r="L33" s="2" t="inlineStr">
        <is>
          <t>2026-01-25 20:09</t>
        </is>
      </c>
      <c r="M33" s="2" t="inlineStr">
        <is>
          <t>2026-01-26 20:40</t>
        </is>
      </c>
      <c r="N33" s="2" t="inlineStr">
        <is>
          <t>FORMS SUBST DE TRANSFORMADOR</t>
        </is>
      </c>
      <c r="O33" s="2" t="inlineStr">
        <is>
          <t>DOLP-RD-PA</t>
        </is>
      </c>
      <c r="P33" s="2" t="inlineStr">
        <is>
          <t>APARECIDA DO RIO NEGRO</t>
        </is>
      </c>
      <c r="Q33" s="2" t="inlineStr">
        <is>
          <t>QUEIMADO</t>
        </is>
      </c>
      <c r="R33" s="2" t="inlineStr">
        <is>
          <t>VAZAMENTO DE ÓLEO</t>
        </is>
      </c>
      <c r="S33" s="2" t="inlineStr">
        <is>
          <t>497936</t>
        </is>
      </c>
      <c r="T33" s="2" t="n">
        <v>1615822</v>
      </c>
      <c r="U33" s="2" t="inlineStr">
        <is>
          <t>sim</t>
        </is>
      </c>
      <c r="V33" s="2" t="inlineStr">
        <is>
          <t>MEIO AMBIENTE</t>
        </is>
      </c>
      <c r="W33" s="2" t="inlineStr">
        <is>
          <t>ARVORE DE GRANDE PORTE NA REDE / NA FAIXA</t>
        </is>
      </c>
      <c r="X33" s="2" t="n"/>
      <c r="Y33" s="2" t="n"/>
      <c r="Z33" s="4" t="inlineStr">
        <is>
          <t>SIM</t>
        </is>
      </c>
      <c r="AA33" s="4" t="inlineStr">
        <is>
          <t>leitura caso a caso</t>
        </is>
      </c>
      <c r="AB33"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3" s="2" t="inlineStr">
        <is>
          <t>Segue SS para atendimento com equipe de manutenção , substituir trafo 5700307083 com VAZ. DE OLEO na RDR de aparecida do rio negro , acesso para CAMIONETE , para-raio queimado , tensão 34,5, potencia 5 kva</t>
        </is>
      </c>
      <c r="AD33" s="2" t="inlineStr">
        <is>
          <t xml:space="preserve">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 
</t>
        </is>
      </c>
    </row>
    <row r="34" ht="45" customHeight="1">
      <c r="A34" s="2" t="inlineStr">
        <is>
          <t>ENC-RD-PS 00024/2026</t>
        </is>
      </c>
      <c r="B34" s="2" t="inlineStr">
        <is>
          <t>jan</t>
        </is>
      </c>
      <c r="C34" s="3" t="inlineStr">
        <is>
          <t>Sem interrupção comprovada</t>
        </is>
      </c>
      <c r="D34" s="2" t="inlineStr">
        <is>
          <t>Sem interrupção</t>
        </is>
      </c>
      <c r="E34" s="2" t="inlineStr">
        <is>
          <t>EXPURGO</t>
        </is>
      </c>
      <c r="F34" s="2" t="inlineStr">
        <is>
          <t>QUEIMADO</t>
        </is>
      </c>
      <c r="G34" s="2" t="inlineStr">
        <is>
          <t>esteira 1.582</t>
        </is>
      </c>
      <c r="H34" s="2" t="inlineStr">
        <is>
          <t>AUSENTE DA CRÍTICA</t>
        </is>
      </c>
      <c r="I34" s="2" t="n">
        <v>5700559233</v>
      </c>
      <c r="J34" s="2" t="inlineStr">
        <is>
          <t>ENC-LMPS01  000011/2026</t>
        </is>
      </c>
      <c r="K34" s="2" t="n">
        <v>212600049</v>
      </c>
      <c r="L34" s="2" t="inlineStr">
        <is>
          <t>2026-01-06 18:36</t>
        </is>
      </c>
      <c r="M34" s="2" t="inlineStr">
        <is>
          <t>2026-01-07 18:56</t>
        </is>
      </c>
      <c r="N34" s="2" t="inlineStr">
        <is>
          <t>FORMS SUBST DE TRANSFORMADOR</t>
        </is>
      </c>
      <c r="O34" s="2" t="inlineStr">
        <is>
          <t>ENC-RD-PS</t>
        </is>
      </c>
      <c r="P34" s="2" t="inlineStr">
        <is>
          <t>ABREULANDIA</t>
        </is>
      </c>
      <c r="Q34" s="2" t="inlineStr">
        <is>
          <t>QUEIMADO</t>
        </is>
      </c>
      <c r="R34" s="2" t="inlineStr">
        <is>
          <t>DESCARGA ATMOSFÉRICA</t>
        </is>
      </c>
      <c r="S34" s="2" t="inlineStr">
        <is>
          <t>525292</t>
        </is>
      </c>
      <c r="T34" s="2" t="n"/>
      <c r="U34" s="2" t="inlineStr">
        <is>
          <t>não</t>
        </is>
      </c>
      <c r="V34" s="2" t="n"/>
      <c r="W34" s="2" t="n"/>
      <c r="X34" s="2" t="n"/>
      <c r="Y34" s="2" t="n"/>
      <c r="Z34" s="4" t="inlineStr">
        <is>
          <t>SIM</t>
        </is>
      </c>
      <c r="AA34" s="4" t="inlineStr">
        <is>
          <t>leitura caso a caso</t>
        </is>
      </c>
      <c r="AB34" s="4" t="inlineStr">
        <is>
          <t>Fora do indicador: o ativo não existe na base de interrupção. Sem registro de interrupção não há evento a medir.</t>
        </is>
      </c>
      <c r="AC34" s="2" t="inlineStr">
        <is>
          <t>segue SS ´para tratativa com equipe de manutençao subtituir trafo 5700559233 na rdr de abreulandia</t>
        </is>
      </c>
      <c r="AD34" s="2" t="inlineStr">
        <is>
          <t xml:space="preserve"> 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is>
      </c>
    </row>
    <row r="35" ht="45" customHeight="1">
      <c r="A35" s="2" t="inlineStr">
        <is>
          <t>ENC-RD-PS 00044/2026</t>
        </is>
      </c>
      <c r="B35" s="2" t="inlineStr">
        <is>
          <t>jan</t>
        </is>
      </c>
      <c r="C35" s="3" t="inlineStr">
        <is>
          <t>Sem interrupção comprovada</t>
        </is>
      </c>
      <c r="D35" s="2" t="inlineStr">
        <is>
          <t>Sem interrupção</t>
        </is>
      </c>
      <c r="E35" s="2" t="inlineStr">
        <is>
          <t>EXPURGO</t>
        </is>
      </c>
      <c r="F35" s="2" t="inlineStr">
        <is>
          <t>QUEIMADO</t>
        </is>
      </c>
      <c r="G35" s="2" t="inlineStr">
        <is>
          <t>esteira 1.582</t>
        </is>
      </c>
      <c r="H35" s="2" t="inlineStr">
        <is>
          <t>AUSENTE DA CRÍTICA</t>
        </is>
      </c>
      <c r="I35" s="2" t="n">
        <v>5710028046</v>
      </c>
      <c r="J35" s="2" t="inlineStr">
        <is>
          <t>ENC-LMPS04  000011/2026</t>
        </is>
      </c>
      <c r="K35" s="2" t="n">
        <v>212600073</v>
      </c>
      <c r="L35" s="2" t="inlineStr">
        <is>
          <t>2026-01-11 10:38</t>
        </is>
      </c>
      <c r="M35" s="2" t="inlineStr">
        <is>
          <t>2026-01-12 16:02</t>
        </is>
      </c>
      <c r="N35" s="2" t="inlineStr">
        <is>
          <t>FORMS SUBST DE TRANSFORMADOR</t>
        </is>
      </c>
      <c r="O35" s="2" t="inlineStr">
        <is>
          <t>ENC-RD-PS</t>
        </is>
      </c>
      <c r="P35" s="2" t="inlineStr">
        <is>
          <t>NOVA ROSALANDIA</t>
        </is>
      </c>
      <c r="Q35" s="2" t="inlineStr">
        <is>
          <t>QUEIMADO</t>
        </is>
      </c>
      <c r="R35" s="2" t="inlineStr">
        <is>
          <t>DESCARGA ATMOSFÉRICA</t>
        </is>
      </c>
      <c r="S35" s="2" t="inlineStr">
        <is>
          <t>69095</t>
        </is>
      </c>
      <c r="T35" s="2" t="n"/>
      <c r="U35" s="2" t="inlineStr">
        <is>
          <t>não</t>
        </is>
      </c>
      <c r="V35" s="2" t="n"/>
      <c r="W35" s="2" t="n"/>
      <c r="X35" s="2" t="n"/>
      <c r="Y35" s="2" t="n"/>
      <c r="Z35" s="4" t="inlineStr">
        <is>
          <t>SIM</t>
        </is>
      </c>
      <c r="AA35" s="4" t="inlineStr">
        <is>
          <t>leitura caso a caso</t>
        </is>
      </c>
      <c r="AB35" s="4" t="inlineStr">
        <is>
          <t>Fora do indicador: o ativo não existe na base de interrupção. Sem registro de interrupção não há evento a medir.</t>
        </is>
      </c>
      <c r="AC35" s="2" t="inlineStr">
        <is>
          <t>TR 571002804610KVA13800PARA RAIO DANIFICADO ACESSO PARA CAMINHONETE (1)UC PENALIZADA EM CAMPO 046OP01 VILSON</t>
        </is>
      </c>
      <c r="AD35" s="2" t="inlineStr">
        <is>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is>
      </c>
    </row>
    <row r="36" ht="90" customHeight="1">
      <c r="A36" s="2" t="inlineStr">
        <is>
          <t>ENC-RD-PS 00054/2026</t>
        </is>
      </c>
      <c r="B36" s="2" t="inlineStr">
        <is>
          <t>jan</t>
        </is>
      </c>
      <c r="C36" s="3" t="inlineStr">
        <is>
          <t>Sem interrupção comprovada</t>
        </is>
      </c>
      <c r="D36" s="2" t="inlineStr">
        <is>
          <t>Sem interrupção</t>
        </is>
      </c>
      <c r="E36" s="2" t="inlineStr">
        <is>
          <t>EXPURGO</t>
        </is>
      </c>
      <c r="F36" s="2" t="inlineStr">
        <is>
          <t>QUEIMADO</t>
        </is>
      </c>
      <c r="G36" s="2" t="inlineStr">
        <is>
          <t>esteira 1.582</t>
        </is>
      </c>
      <c r="H36" s="2" t="inlineStr">
        <is>
          <t>AUSENTE DA CRÍTICA</t>
        </is>
      </c>
      <c r="I36" s="2" t="n">
        <v>5701203084</v>
      </c>
      <c r="J36" s="2" t="inlineStr">
        <is>
          <t>ENC-LMPS04  000013/2026</t>
        </is>
      </c>
      <c r="K36" s="2" t="n">
        <v>212600080</v>
      </c>
      <c r="L36" s="2" t="inlineStr">
        <is>
          <t>2026-01-12 13:21</t>
        </is>
      </c>
      <c r="M36" s="2" t="inlineStr">
        <is>
          <t>2026-01-14 16:40</t>
        </is>
      </c>
      <c r="N36" s="2" t="inlineStr">
        <is>
          <t>FORMS SUBST DE TRANSFORMADOR</t>
        </is>
      </c>
      <c r="O36" s="2" t="inlineStr">
        <is>
          <t>ENC-RD-PS</t>
        </is>
      </c>
      <c r="P36" s="2" t="inlineStr">
        <is>
          <t>DIVINOPOLIS DO TOCANTINS</t>
        </is>
      </c>
      <c r="Q36" s="2" t="inlineStr">
        <is>
          <t>QUEIMADO</t>
        </is>
      </c>
      <c r="R36" s="2" t="inlineStr">
        <is>
          <t>DESCARGA ATMOSFÉRICA</t>
        </is>
      </c>
      <c r="S36" s="2" t="inlineStr">
        <is>
          <t>451481</t>
        </is>
      </c>
      <c r="T36" s="2" t="n">
        <v>290390</v>
      </c>
      <c r="U36" s="2" t="inlineStr">
        <is>
          <t>sim</t>
        </is>
      </c>
      <c r="V36" s="2" t="n"/>
      <c r="W36" s="2" t="n"/>
      <c r="X36" s="2" t="n"/>
      <c r="Y36" s="2" t="n"/>
      <c r="Z36" s="4" t="inlineStr">
        <is>
          <t>SIM</t>
        </is>
      </c>
      <c r="AA36" s="4" t="inlineStr">
        <is>
          <t>leitura caso a caso</t>
        </is>
      </c>
      <c r="AB3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6" s="2" t="inlineStr">
        <is>
          <t>Segue ss para tratativa com equipe de manutençao o quanto antes susbtituir trafo 5701203084 queimado na rdr de divinopoles</t>
        </is>
      </c>
      <c r="AD36" s="2" t="inlineStr">
        <is>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is>
      </c>
    </row>
    <row r="37" ht="45" customHeight="1">
      <c r="A37" s="2" t="inlineStr">
        <is>
          <t>ENC-RD-PS 00057/2026</t>
        </is>
      </c>
      <c r="B37" s="2" t="inlineStr">
        <is>
          <t>jan</t>
        </is>
      </c>
      <c r="C37" s="3" t="inlineStr">
        <is>
          <t>Sem interrupção comprovada</t>
        </is>
      </c>
      <c r="D37" s="2" t="inlineStr">
        <is>
          <t>Sem interrupção</t>
        </is>
      </c>
      <c r="E37" s="2" t="inlineStr">
        <is>
          <t>EXPURGO</t>
        </is>
      </c>
      <c r="F37" s="2" t="inlineStr">
        <is>
          <t>QUEIMADO</t>
        </is>
      </c>
      <c r="G37" s="2" t="inlineStr">
        <is>
          <t>esteira 1.582</t>
        </is>
      </c>
      <c r="H37" s="2" t="inlineStr">
        <is>
          <t>AUSENTE DA CRÍTICA</t>
        </is>
      </c>
      <c r="I37" s="2" t="n">
        <v>5710441149</v>
      </c>
      <c r="J37" s="2" t="inlineStr">
        <is>
          <t>ENC-LMPS04  000012/2026</t>
        </is>
      </c>
      <c r="K37" s="2" t="n">
        <v>212600077</v>
      </c>
      <c r="L37" s="2" t="inlineStr">
        <is>
          <t>2026-01-12 17:10</t>
        </is>
      </c>
      <c r="M37" s="2" t="inlineStr">
        <is>
          <t>2026-01-13 20:09</t>
        </is>
      </c>
      <c r="N37" s="2" t="inlineStr">
        <is>
          <t>FORMS SUBST DE TRANSFORMADOR</t>
        </is>
      </c>
      <c r="O37" s="2" t="inlineStr">
        <is>
          <t>ENC-RD-PS</t>
        </is>
      </c>
      <c r="P37" s="2" t="inlineStr">
        <is>
          <t>CASEARA</t>
        </is>
      </c>
      <c r="Q37" s="2" t="inlineStr">
        <is>
          <t>QUEIMADO</t>
        </is>
      </c>
      <c r="R37" s="2" t="inlineStr">
        <is>
          <t>DESCARGA ATMOSFÉRICA</t>
        </is>
      </c>
      <c r="S37" s="2" t="inlineStr">
        <is>
          <t>1568543</t>
        </is>
      </c>
      <c r="T37" s="2" t="n">
        <v>586759</v>
      </c>
      <c r="U37" s="2" t="inlineStr">
        <is>
          <t>sim</t>
        </is>
      </c>
      <c r="V37" s="2" t="n"/>
      <c r="W37" s="2" t="n"/>
      <c r="X37" s="2" t="n"/>
      <c r="Y37" s="2" t="n"/>
      <c r="Z37" s="4" t="inlineStr">
        <is>
          <t>SIM</t>
        </is>
      </c>
      <c r="AA37" s="4" t="inlineStr">
        <is>
          <t>leitura caso a caso</t>
        </is>
      </c>
      <c r="AB37" s="4" t="inlineStr">
        <is>
          <t>Fora do indicador: o ativo não existe na base de interrupção. Sem registro de interrupção não há evento a medir.</t>
        </is>
      </c>
      <c r="AC37" s="2" t="inlineStr">
        <is>
          <t>TR 571044114930KVAT 34500PARA RAIO DANIFICADO ACESSO PARA CAMINHAO (1) PENALIZADA WELVIS SUP. DIVINOPOLIS</t>
        </is>
      </c>
      <c r="AD37" s="2" t="inlineStr">
        <is>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is>
      </c>
    </row>
    <row r="38" ht="45" customHeight="1">
      <c r="A38" s="2" t="inlineStr">
        <is>
          <t>ETO-RD-AR 00001/2026</t>
        </is>
      </c>
      <c r="B38" s="2" t="inlineStr">
        <is>
          <t>jan</t>
        </is>
      </c>
      <c r="C38" s="3" t="inlineStr">
        <is>
          <t>Sem interrupção comprovada</t>
        </is>
      </c>
      <c r="D38" s="2" t="inlineStr">
        <is>
          <t>Sem interrupção</t>
        </is>
      </c>
      <c r="E38" s="2" t="inlineStr">
        <is>
          <t>EXPURGO</t>
        </is>
      </c>
      <c r="F38" s="2" t="inlineStr">
        <is>
          <t>QUEIMADO</t>
        </is>
      </c>
      <c r="G38" s="2" t="inlineStr">
        <is>
          <t>esteira 1.582</t>
        </is>
      </c>
      <c r="H38" s="2" t="inlineStr">
        <is>
          <t>AUSENTE DA CRÍTICA</t>
        </is>
      </c>
      <c r="I38" s="2" t="n">
        <v>5703016016</v>
      </c>
      <c r="J38" s="2" t="inlineStr">
        <is>
          <t>ENC-MLAR01  000013/2026</t>
        </is>
      </c>
      <c r="K38" s="2" t="n">
        <v>612600021</v>
      </c>
      <c r="L38" s="2" t="inlineStr">
        <is>
          <t>2026-01-02 10:17</t>
        </is>
      </c>
      <c r="M38" s="2" t="inlineStr">
        <is>
          <t>2026-01-02 18:00</t>
        </is>
      </c>
      <c r="N38" s="2" t="inlineStr">
        <is>
          <t>FORMS SUBST DE TRANSFORMADOR</t>
        </is>
      </c>
      <c r="O38" s="2" t="inlineStr">
        <is>
          <t>ETO-RD-AR</t>
        </is>
      </c>
      <c r="P38" s="2" t="inlineStr">
        <is>
          <t>WANDERLANDIA</t>
        </is>
      </c>
      <c r="Q38" s="2" t="inlineStr">
        <is>
          <t>QUEIMADO</t>
        </is>
      </c>
      <c r="R38" s="2" t="inlineStr">
        <is>
          <t>SOBRECARGA</t>
        </is>
      </c>
      <c r="S38" s="2" t="inlineStr">
        <is>
          <t>180489</t>
        </is>
      </c>
      <c r="T38" s="2" t="n">
        <v>435142</v>
      </c>
      <c r="U38" s="2" t="inlineStr">
        <is>
          <t>sim</t>
        </is>
      </c>
      <c r="V38" s="2" t="n"/>
      <c r="W38" s="2" t="n"/>
      <c r="X38" s="2" t="n"/>
      <c r="Y38" s="2" t="n"/>
      <c r="Z38" s="4" t="inlineStr">
        <is>
          <t>SIM</t>
        </is>
      </c>
      <c r="AA38" s="4" t="inlineStr">
        <is>
          <t>leitura caso a caso</t>
        </is>
      </c>
      <c r="AB38" s="4" t="inlineStr">
        <is>
          <t>Fora do indicador: o ativo não existe na base de interrupção. Sem registro de interrupção não há evento a medir.</t>
        </is>
      </c>
      <c r="AC38" s="2" t="inlineStr">
        <is>
          <t>SUBSTITUIR o Trafo 5703016016Lançar vão de rede de 100 metros , cabo AA / 4Instalar chave trafo ELO 0,5HAcesso livrePotencia de 15 kVA</t>
        </is>
      </c>
      <c r="AD38" s="2" t="inlineStr">
        <is>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is>
      </c>
    </row>
    <row r="39" ht="75" customHeight="1">
      <c r="A39" s="2" t="inlineStr">
        <is>
          <t>ETO-RD-AR 00024/2026</t>
        </is>
      </c>
      <c r="B39" s="2" t="inlineStr">
        <is>
          <t>jan</t>
        </is>
      </c>
      <c r="C39" s="3" t="inlineStr">
        <is>
          <t>Sem interrupção comprovada</t>
        </is>
      </c>
      <c r="D39" s="2" t="inlineStr">
        <is>
          <t>Sem interrupção</t>
        </is>
      </c>
      <c r="E39" s="2" t="inlineStr">
        <is>
          <t>EXPURGO</t>
        </is>
      </c>
      <c r="F39" s="2" t="inlineStr">
        <is>
          <t>AVARIADO</t>
        </is>
      </c>
      <c r="G39" s="2" t="inlineStr">
        <is>
          <t>esteira 1.582</t>
        </is>
      </c>
      <c r="H39" s="2" t="inlineStr">
        <is>
          <t>AUSENTE DA CRÍTICA</t>
        </is>
      </c>
      <c r="I39" s="2" t="n">
        <v>5756806060</v>
      </c>
      <c r="J39" s="2" t="inlineStr">
        <is>
          <t>ENC-MLAR05  000003/2026</t>
        </is>
      </c>
      <c r="K39" s="2" t="n">
        <v>612600048</v>
      </c>
      <c r="L39" s="2" t="inlineStr">
        <is>
          <t>2026-01-06 20:40</t>
        </is>
      </c>
      <c r="M39" s="2" t="inlineStr">
        <is>
          <t>2026-01-08 16:12</t>
        </is>
      </c>
      <c r="N39" s="2" t="inlineStr">
        <is>
          <t>FORMS SUBST DE TRANSFORMADOR</t>
        </is>
      </c>
      <c r="O39" s="2" t="inlineStr">
        <is>
          <t>ETO-RD-AR</t>
        </is>
      </c>
      <c r="P39" s="2" t="inlineStr">
        <is>
          <t>NOVA OLINDA</t>
        </is>
      </c>
      <c r="Q39" s="2" t="inlineStr">
        <is>
          <t>AVARIADO</t>
        </is>
      </c>
      <c r="R39" s="2" t="inlineStr">
        <is>
          <t>VAZAMENTO DE ÓLEO</t>
        </is>
      </c>
      <c r="S39" s="2" t="inlineStr">
        <is>
          <t>255447</t>
        </is>
      </c>
      <c r="T39" s="2" t="n">
        <v>16294</v>
      </c>
      <c r="U39" s="2" t="inlineStr">
        <is>
          <t>sim</t>
        </is>
      </c>
      <c r="V39" s="2" t="n"/>
      <c r="W39" s="2" t="n"/>
      <c r="X39" s="2" t="n"/>
      <c r="Y39" s="2" t="n"/>
      <c r="Z39" s="4" t="inlineStr">
        <is>
          <t>SIM</t>
        </is>
      </c>
      <c r="AA39" s="4" t="inlineStr">
        <is>
          <t>leitura caso a caso</t>
        </is>
      </c>
      <c r="AB39" s="4" t="inlineStr">
        <is>
          <t>Fora do indicador: o código não aparece na Crítica em papel nenhum — nem com defeito, nem interrompido, nem manobrado — nos sete meses do acervo; nem o teste do vizinho achou explicação.</t>
        </is>
      </c>
      <c r="AC39" s="2" t="inlineStr">
        <is>
          <t>TRAFO 5756806060 75KVA 13.8KV COM VAZAMENTO DE OLEO, ATENDE UMA ESCOLA DR. HELIO DE SOU BUENO NA RDU DE NOVA OLINDA</t>
        </is>
      </c>
      <c r="AD39" s="2" t="inlineStr">
        <is>
          <t xml:space="preserve">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 
</t>
        </is>
      </c>
    </row>
    <row r="40" ht="45" customHeight="1">
      <c r="A40" s="2" t="inlineStr">
        <is>
          <t>ETO-RD-AR 00081/2026</t>
        </is>
      </c>
      <c r="B40" s="2" t="inlineStr">
        <is>
          <t>jan</t>
        </is>
      </c>
      <c r="C40" s="3" t="inlineStr">
        <is>
          <t>Sem interrupção comprovada</t>
        </is>
      </c>
      <c r="D40" s="2" t="inlineStr">
        <is>
          <t>Sem interrupção</t>
        </is>
      </c>
      <c r="E40" s="2" t="inlineStr">
        <is>
          <t>EXPURGO</t>
        </is>
      </c>
      <c r="F40" s="2" t="inlineStr">
        <is>
          <t>QUEIMADO</t>
        </is>
      </c>
      <c r="G40" s="2" t="inlineStr">
        <is>
          <t>esteira 1.582</t>
        </is>
      </c>
      <c r="H40" s="2" t="inlineStr">
        <is>
          <t>AUSENTE DA CRÍTICA</t>
        </is>
      </c>
      <c r="I40" s="2" t="n">
        <v>5704370057</v>
      </c>
      <c r="J40" s="2" t="inlineStr">
        <is>
          <t>ENC-MLAR05  000026/2026</t>
        </is>
      </c>
      <c r="K40" s="2" t="n">
        <v>612600070</v>
      </c>
      <c r="L40" s="2" t="inlineStr">
        <is>
          <t>2026-01-16 08:57</t>
        </is>
      </c>
      <c r="M40" s="2" t="inlineStr">
        <is>
          <t>2026-01-16 23:00</t>
        </is>
      </c>
      <c r="N40" s="2" t="inlineStr">
        <is>
          <t>FORMS SUBST DE TRANSFORMADOR</t>
        </is>
      </c>
      <c r="O40" s="2" t="inlineStr">
        <is>
          <t>ETO-RD-AR</t>
        </is>
      </c>
      <c r="P40" s="2" t="inlineStr">
        <is>
          <t>ARAGUAINA</t>
        </is>
      </c>
      <c r="Q40" s="2" t="inlineStr">
        <is>
          <t>QUEIMADO</t>
        </is>
      </c>
      <c r="R40" s="2" t="inlineStr">
        <is>
          <t>DESCARGA ATMOSFÉRICA</t>
        </is>
      </c>
      <c r="S40" s="2" t="inlineStr">
        <is>
          <t>371054</t>
        </is>
      </c>
      <c r="T40" s="2" t="n">
        <v>820201</v>
      </c>
      <c r="U40" s="2" t="inlineStr">
        <is>
          <t>sim</t>
        </is>
      </c>
      <c r="V40" s="2" t="n"/>
      <c r="W40" s="2" t="n"/>
      <c r="X40" s="2" t="n"/>
      <c r="Y40" s="2" t="n"/>
      <c r="Z40" s="4" t="inlineStr">
        <is>
          <t>SIM</t>
        </is>
      </c>
      <c r="AA40" s="4" t="inlineStr">
        <is>
          <t>leitura caso a caso</t>
        </is>
      </c>
      <c r="AB40" s="4" t="inlineStr">
        <is>
          <t>Fora do indicador: o ativo não existe na base de interrupção. Sem registro de interrupção não há evento a medir.</t>
        </is>
      </c>
      <c r="AC40" s="2" t="inlineStr">
        <is>
          <t>Trafo 5704370057 15 kva queimadoTensão: 19.9Acesso: Livre Endereço: IND FAZENDA NOVO HORIZONTE, 0 - NOVO HORIZONTE 500M DA  PISTA</t>
        </is>
      </c>
      <c r="AD40" s="2" t="inlineStr">
        <is>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is>
      </c>
    </row>
    <row r="41" ht="45" customHeight="1">
      <c r="A41" s="2" t="inlineStr">
        <is>
          <t>ETO-RD-AR 00118/2026</t>
        </is>
      </c>
      <c r="B41" s="2" t="inlineStr">
        <is>
          <t>jan</t>
        </is>
      </c>
      <c r="C41" s="3" t="inlineStr">
        <is>
          <t>Sem interrupção comprovada</t>
        </is>
      </c>
      <c r="D41" s="2" t="inlineStr">
        <is>
          <t>Sem interrupção</t>
        </is>
      </c>
      <c r="E41" s="2" t="inlineStr">
        <is>
          <t>EXPURGO</t>
        </is>
      </c>
      <c r="F41" s="2" t="inlineStr">
        <is>
          <t>QUEIMADO</t>
        </is>
      </c>
      <c r="G41" s="2" t="inlineStr">
        <is>
          <t>esteira 1.582</t>
        </is>
      </c>
      <c r="H41" s="2" t="inlineStr">
        <is>
          <t>AUSENTE DA CRÍTICA</t>
        </is>
      </c>
      <c r="I41" s="2" t="n">
        <v>5700746004</v>
      </c>
      <c r="J41" s="2" t="inlineStr">
        <is>
          <t>ENC-MLAR01  000054/2026</t>
        </is>
      </c>
      <c r="K41" s="2" t="n">
        <v>612600086</v>
      </c>
      <c r="L41" s="2" t="inlineStr">
        <is>
          <t>2026-01-19 21:44</t>
        </is>
      </c>
      <c r="M41" s="2" t="inlineStr">
        <is>
          <t>2026-01-20 20:50</t>
        </is>
      </c>
      <c r="N41" s="2" t="inlineStr">
        <is>
          <t>FORMS SUBST DE TRANSFORMADOR</t>
        </is>
      </c>
      <c r="O41" s="2" t="inlineStr">
        <is>
          <t>ETO-RD-AR</t>
        </is>
      </c>
      <c r="P41" s="2" t="inlineStr">
        <is>
          <t>ARAGUAINA</t>
        </is>
      </c>
      <c r="Q41" s="2" t="inlineStr">
        <is>
          <t>QUEIMADO</t>
        </is>
      </c>
      <c r="R41" s="2" t="inlineStr">
        <is>
          <t>DESCARGA ATMOSFÉRICA</t>
        </is>
      </c>
      <c r="S41" s="2" t="inlineStr">
        <is>
          <t>1294</t>
        </is>
      </c>
      <c r="T41" s="2" t="n">
        <v>820197</v>
      </c>
      <c r="U41" s="2" t="inlineStr">
        <is>
          <t>sim</t>
        </is>
      </c>
      <c r="V41" s="2" t="n"/>
      <c r="W41" s="2" t="n"/>
      <c r="X41" s="2" t="n"/>
      <c r="Y41" s="2" t="n"/>
      <c r="Z41" s="4" t="inlineStr">
        <is>
          <t>SIM</t>
        </is>
      </c>
      <c r="AA41" s="4" t="inlineStr">
        <is>
          <t>leitura caso a caso</t>
        </is>
      </c>
      <c r="AB41" s="4" t="inlineStr">
        <is>
          <t>Fora do indicador: o ativo não existe na base de interrupção. Sem registro de interrupção não há evento a medir.</t>
        </is>
      </c>
      <c r="AC41" s="2" t="inlineStr">
        <is>
          <t>Trafo 5700746004 queimado 15kvaTensão: 19.9Acesso somente para caminhoneteEquipe: 004op08</t>
        </is>
      </c>
      <c r="AD41" s="2" t="inlineStr">
        <is>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is>
      </c>
    </row>
    <row r="42" ht="45" customHeight="1">
      <c r="A42" s="2" t="inlineStr">
        <is>
          <t>ETO-RD-GR 00052/2026</t>
        </is>
      </c>
      <c r="B42" s="2" t="inlineStr">
        <is>
          <t>jan</t>
        </is>
      </c>
      <c r="C42" s="3" t="inlineStr">
        <is>
          <t>Sem interrupção comprovada</t>
        </is>
      </c>
      <c r="D42" s="2" t="inlineStr">
        <is>
          <t>Sem interrupção</t>
        </is>
      </c>
      <c r="E42" s="2" t="inlineStr">
        <is>
          <t>EXPURGO</t>
        </is>
      </c>
      <c r="F42" s="2" t="inlineStr">
        <is>
          <t>QUEIMADO</t>
        </is>
      </c>
      <c r="G42" s="2" t="inlineStr">
        <is>
          <t>esteira 1.582</t>
        </is>
      </c>
      <c r="H42" s="2" t="inlineStr">
        <is>
          <t>AUSENTE DA CRÍTICA</t>
        </is>
      </c>
      <c r="I42" s="2" t="n">
        <v>5741943048</v>
      </c>
      <c r="J42" s="2" t="inlineStr">
        <is>
          <t>ENC-MLGR03  000015/2026</t>
        </is>
      </c>
      <c r="K42" s="2" t="n">
        <v>712600047</v>
      </c>
      <c r="L42" s="2" t="inlineStr">
        <is>
          <t>2026-01-09 18:59</t>
        </is>
      </c>
      <c r="M42" s="2" t="inlineStr">
        <is>
          <t>2026-01-10 22:28</t>
        </is>
      </c>
      <c r="N42" s="2" t="inlineStr">
        <is>
          <t>FORMS SUBST DE TRANSFORMADOR</t>
        </is>
      </c>
      <c r="O42" s="2" t="inlineStr">
        <is>
          <t>ETO-RD-GR</t>
        </is>
      </c>
      <c r="P42" s="2" t="inlineStr">
        <is>
          <t>FORTALEZA DO TABOCAO</t>
        </is>
      </c>
      <c r="Q42" s="2" t="inlineStr">
        <is>
          <t>QUEIMADO</t>
        </is>
      </c>
      <c r="R42" s="2" t="inlineStr">
        <is>
          <t>DESCARGA ATMOSFÉRICA</t>
        </is>
      </c>
      <c r="S42" s="2" t="inlineStr">
        <is>
          <t>1510147</t>
        </is>
      </c>
      <c r="T42" s="2" t="n">
        <v>489685</v>
      </c>
      <c r="U42" s="2" t="inlineStr">
        <is>
          <t>sim</t>
        </is>
      </c>
      <c r="V42" s="2" t="n"/>
      <c r="W42" s="2" t="n"/>
      <c r="X42" s="2" t="n"/>
      <c r="Y42" s="2" t="n"/>
      <c r="Z42" s="4" t="inlineStr">
        <is>
          <t>SIM</t>
        </is>
      </c>
      <c r="AA42" s="4" t="inlineStr">
        <is>
          <t>leitura caso a caso</t>
        </is>
      </c>
      <c r="AB42" s="4" t="inlineStr">
        <is>
          <t>Fora do indicador: o ativo não existe na base de interrupção. Sem registro de interrupção não há evento a medir.</t>
        </is>
      </c>
      <c r="AC42" s="2" t="inlineStr">
        <is>
          <t>trafo queimado 5710088048, porem em campo esta o trafo 5741943048112.5 kVAacesso livre pararaio queimadoequipe 009op01- 63999201531</t>
        </is>
      </c>
      <c r="AD42" s="2"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t>
        </is>
      </c>
    </row>
    <row r="43" ht="75" customHeight="1">
      <c r="A43" s="2" t="inlineStr">
        <is>
          <t>ETO-RD-GR 00095/2026</t>
        </is>
      </c>
      <c r="B43" s="2" t="inlineStr">
        <is>
          <t>jan</t>
        </is>
      </c>
      <c r="C43" s="3" t="inlineStr">
        <is>
          <t>Sem interrupção comprovada</t>
        </is>
      </c>
      <c r="D43" s="2" t="inlineStr">
        <is>
          <t>Sem interrupção</t>
        </is>
      </c>
      <c r="E43" s="2" t="inlineStr">
        <is>
          <t>EXPURGO</t>
        </is>
      </c>
      <c r="F43" s="2" t="inlineStr">
        <is>
          <t>QUEIMADO</t>
        </is>
      </c>
      <c r="G43" s="2" t="inlineStr">
        <is>
          <t>esteira 1.582</t>
        </is>
      </c>
      <c r="H43" s="2" t="inlineStr">
        <is>
          <t>AUSENTE DA CRÍTICA</t>
        </is>
      </c>
      <c r="I43" s="2" t="n">
        <v>5700396048</v>
      </c>
      <c r="J43" s="2" t="inlineStr">
        <is>
          <t>ENC-MLGR03  000031/2026</t>
        </is>
      </c>
      <c r="K43" s="2" t="n">
        <v>712600063</v>
      </c>
      <c r="L43" s="2" t="inlineStr">
        <is>
          <t>2026-01-16 16:33</t>
        </is>
      </c>
      <c r="M43" s="2" t="inlineStr">
        <is>
          <t>2026-01-17 02:02</t>
        </is>
      </c>
      <c r="N43" s="2" t="inlineStr">
        <is>
          <t>FORMS SUBST DE TRANSFORMADOR</t>
        </is>
      </c>
      <c r="O43" s="2" t="inlineStr">
        <is>
          <t>ETO-RD-GR</t>
        </is>
      </c>
      <c r="P43" s="2" t="inlineStr">
        <is>
          <t>FORTALEZA DO TABOCAO</t>
        </is>
      </c>
      <c r="Q43" s="2" t="inlineStr">
        <is>
          <t>QUEIMADO</t>
        </is>
      </c>
      <c r="R43" s="2" t="inlineStr">
        <is>
          <t>DESCARGA ATMOSFÉRICA</t>
        </is>
      </c>
      <c r="S43" s="2" t="inlineStr">
        <is>
          <t>573184</t>
        </is>
      </c>
      <c r="T43" s="2" t="n">
        <v>820202</v>
      </c>
      <c r="U43" s="2" t="inlineStr">
        <is>
          <t>sim</t>
        </is>
      </c>
      <c r="V43" s="2" t="n"/>
      <c r="W43" s="2" t="n"/>
      <c r="X43" s="2" t="n"/>
      <c r="Y43" s="2" t="n"/>
      <c r="Z43" s="4" t="inlineStr">
        <is>
          <t>SIM</t>
        </is>
      </c>
      <c r="AA43" s="4" t="inlineStr">
        <is>
          <t>leitura caso a caso</t>
        </is>
      </c>
      <c r="AB43" s="4" t="inlineStr">
        <is>
          <t>Fora do indicador: o código não aparece na Crítica em papel nenhum — nem com defeito, nem interrompido, nem manobrado — nos sete meses do acervo; nem o teste do vizinho achou explicação.</t>
        </is>
      </c>
      <c r="AC43" s="2" t="inlineStr">
        <is>
          <t>Trafo: 5700396048 Avariado Potencia: 15 KVATensão: 34,5kPara raio: queimado Acesso: Camioneta   Equipe: 009op02 (63)99983-3829Obs. trafo esta com tensão baixa em uma das buchas.</t>
        </is>
      </c>
      <c r="AD43" s="2" t="inlineStr">
        <is>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is>
      </c>
    </row>
    <row r="44" ht="45" customHeight="1">
      <c r="A44" s="2" t="inlineStr">
        <is>
          <t>ETO-RD-GR 00140/2026</t>
        </is>
      </c>
      <c r="B44" s="2" t="inlineStr">
        <is>
          <t>jan</t>
        </is>
      </c>
      <c r="C44" s="3" t="inlineStr">
        <is>
          <t>Sem interrupção comprovada</t>
        </is>
      </c>
      <c r="D44" s="2" t="inlineStr">
        <is>
          <t>Sem interrupção</t>
        </is>
      </c>
      <c r="E44" s="2" t="inlineStr">
        <is>
          <t>EXPURGO</t>
        </is>
      </c>
      <c r="F44" s="2" t="inlineStr">
        <is>
          <t>QUEIMADO</t>
        </is>
      </c>
      <c r="G44" s="2" t="inlineStr">
        <is>
          <t>esteira 1.582</t>
        </is>
      </c>
      <c r="H44" s="2" t="inlineStr">
        <is>
          <t>AUSENTE DA CRÍTICA</t>
        </is>
      </c>
      <c r="I44" s="2" t="n">
        <v>5700922009</v>
      </c>
      <c r="J44" s="2" t="inlineStr">
        <is>
          <t>ETO-RD-GR  000231/2026</t>
        </is>
      </c>
      <c r="K44" s="2" t="n">
        <v>712600101</v>
      </c>
      <c r="L44" s="2" t="inlineStr">
        <is>
          <t>2026-01-28 20:04</t>
        </is>
      </c>
      <c r="M44" s="2" t="inlineStr">
        <is>
          <t>2026-01-31 08:29</t>
        </is>
      </c>
      <c r="N44" s="2" t="inlineStr">
        <is>
          <t>FORMS SUBST DE TRANSFORMADOR</t>
        </is>
      </c>
      <c r="O44" s="2" t="inlineStr">
        <is>
          <t>ETO-RD-GR</t>
        </is>
      </c>
      <c r="P44" s="2" t="inlineStr">
        <is>
          <t>GUARAI</t>
        </is>
      </c>
      <c r="Q44" s="2" t="inlineStr">
        <is>
          <t>QUEIMADO</t>
        </is>
      </c>
      <c r="R44" s="2" t="inlineStr">
        <is>
          <t>DESCARGA ATMOSFÉRICA</t>
        </is>
      </c>
      <c r="S44" s="2" t="n"/>
      <c r="T44" s="2" t="n"/>
      <c r="U44" s="2" t="inlineStr">
        <is>
          <t>não</t>
        </is>
      </c>
      <c r="V44" s="2" t="n"/>
      <c r="W44" s="2" t="n"/>
      <c r="X44" s="2" t="n"/>
      <c r="Y44" s="2" t="n"/>
      <c r="Z44" s="4" t="inlineStr">
        <is>
          <t>SIM</t>
        </is>
      </c>
      <c r="AA44" s="4" t="inlineStr">
        <is>
          <t>leitura caso a caso</t>
        </is>
      </c>
      <c r="AB44" s="4" t="inlineStr">
        <is>
          <t>Fora do indicador: o ativo não existe na base de interrupção. Sem registro de interrupção não há evento a medir.</t>
        </is>
      </c>
      <c r="AC44" s="2" t="inlineStr">
        <is>
          <t>TR-5700922009 Queimadopara raios queiamado potência 10kvatensão 34,5kvacesso livreequipe 009op01 tel-63984566867</t>
        </is>
      </c>
      <c r="AD44" s="2" t="inlineStr">
        <is>
          <t>TR-5700922009 Queimado 
para raios queiamado  
potência 10kva 
tensão 34,5kv 
acesso livre 
equipe 009op01 tel-63984566867</t>
        </is>
      </c>
    </row>
    <row r="45" ht="90" customHeight="1">
      <c r="A45" s="2" t="inlineStr">
        <is>
          <t>ETO-RD-GU 00066/2026</t>
        </is>
      </c>
      <c r="B45" s="2" t="inlineStr">
        <is>
          <t>jan</t>
        </is>
      </c>
      <c r="C45" s="3" t="inlineStr">
        <is>
          <t>Sem interrupção comprovada</t>
        </is>
      </c>
      <c r="D45" s="2" t="inlineStr">
        <is>
          <t>Sem interrupção</t>
        </is>
      </c>
      <c r="E45" s="2" t="inlineStr">
        <is>
          <t>EXPURGO</t>
        </is>
      </c>
      <c r="F45" s="2" t="inlineStr">
        <is>
          <t>QUEIMADO</t>
        </is>
      </c>
      <c r="G45" s="2" t="inlineStr">
        <is>
          <t>esteira 1.582</t>
        </is>
      </c>
      <c r="H45" s="2" t="inlineStr">
        <is>
          <t>AUSENTE DA CRÍTICA</t>
        </is>
      </c>
      <c r="I45" s="2" t="n">
        <v>5710535094</v>
      </c>
      <c r="J45" s="2" t="inlineStr">
        <is>
          <t>DBM-MLDB05  000013/2026</t>
        </is>
      </c>
      <c r="K45" s="2" t="n">
        <v>412600114</v>
      </c>
      <c r="L45" s="2" t="inlineStr">
        <is>
          <t>2026-01-13 20:52</t>
        </is>
      </c>
      <c r="M45" s="2" t="inlineStr">
        <is>
          <t>2026-01-15 16:00</t>
        </is>
      </c>
      <c r="N45" s="2" t="inlineStr">
        <is>
          <t>FORMS SUBST DE TRANSFORMADOR</t>
        </is>
      </c>
      <c r="O45" s="2" t="inlineStr">
        <is>
          <t>ETO-RD-GU</t>
        </is>
      </c>
      <c r="P45" s="2" t="inlineStr">
        <is>
          <t>PEIXE</t>
        </is>
      </c>
      <c r="Q45" s="2" t="inlineStr">
        <is>
          <t>QUEIMADO</t>
        </is>
      </c>
      <c r="R45" s="2" t="inlineStr">
        <is>
          <t>DESCARGA ATMOSFÉRICA</t>
        </is>
      </c>
      <c r="S45" s="2" t="inlineStr">
        <is>
          <t>225341</t>
        </is>
      </c>
      <c r="T45" s="2" t="n"/>
      <c r="U45" s="2" t="inlineStr">
        <is>
          <t>não</t>
        </is>
      </c>
      <c r="V45" s="2" t="n"/>
      <c r="W45" s="2" t="n"/>
      <c r="X45" s="2" t="n"/>
      <c r="Y45" s="2" t="n"/>
      <c r="Z45" s="4" t="inlineStr">
        <is>
          <t>SIM</t>
        </is>
      </c>
      <c r="AA45" s="4" t="inlineStr">
        <is>
          <t>leitura caso a caso</t>
        </is>
      </c>
      <c r="AB45"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45" s="2" t="inlineStr">
        <is>
          <t>transformador e para raio queimado</t>
        </is>
      </c>
      <c r="AD45" s="2" t="inlineStr">
        <is>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is>
      </c>
    </row>
    <row r="46" ht="45" customHeight="1">
      <c r="A46" s="2" t="inlineStr">
        <is>
          <t>ETO-RD-GU 00073/2026</t>
        </is>
      </c>
      <c r="B46" s="2" t="inlineStr">
        <is>
          <t>jan</t>
        </is>
      </c>
      <c r="C46" s="3" t="inlineStr">
        <is>
          <t>Sem interrupção comprovada</t>
        </is>
      </c>
      <c r="D46" s="2" t="inlineStr">
        <is>
          <t>Sem interrupção</t>
        </is>
      </c>
      <c r="E46" s="2" t="inlineStr">
        <is>
          <t>EXPURGO</t>
        </is>
      </c>
      <c r="F46" s="2" t="inlineStr">
        <is>
          <t>QUEIMADO</t>
        </is>
      </c>
      <c r="G46" s="2" t="inlineStr">
        <is>
          <t>esteira 1.582</t>
        </is>
      </c>
      <c r="H46" s="2" t="inlineStr">
        <is>
          <t>AUSENTE DA CRÍTICA</t>
        </is>
      </c>
      <c r="I46" s="2" t="n">
        <v>5701108076</v>
      </c>
      <c r="J46" s="2" t="inlineStr">
        <is>
          <t>DBM-MLDB03  000008/2026</t>
        </is>
      </c>
      <c r="K46" s="2" t="n">
        <v>412600116</v>
      </c>
      <c r="L46" s="2" t="inlineStr">
        <is>
          <t>2026-01-14 16:27</t>
        </is>
      </c>
      <c r="M46" s="2" t="inlineStr">
        <is>
          <t>2026-01-16 12:01</t>
        </is>
      </c>
      <c r="N46" s="2" t="inlineStr">
        <is>
          <t>FORMS SUBST DE TRANSFORMADOR</t>
        </is>
      </c>
      <c r="O46" s="2" t="inlineStr">
        <is>
          <t>ETO-RD-GU</t>
        </is>
      </c>
      <c r="P46" s="2" t="inlineStr">
        <is>
          <t>CARIRI DO TOCANTINS</t>
        </is>
      </c>
      <c r="Q46" s="2" t="inlineStr">
        <is>
          <t>QUEIMADO</t>
        </is>
      </c>
      <c r="R46" s="2" t="inlineStr">
        <is>
          <t>DESCARGA ATMOSFÉRICA</t>
        </is>
      </c>
      <c r="S46" s="2" t="inlineStr">
        <is>
          <t>20674</t>
        </is>
      </c>
      <c r="T46" s="2" t="n"/>
      <c r="U46" s="2" t="inlineStr">
        <is>
          <t>não</t>
        </is>
      </c>
      <c r="V46" s="2" t="n"/>
      <c r="W46" s="2" t="n"/>
      <c r="X46" s="2" t="n"/>
      <c r="Y46" s="2" t="n"/>
      <c r="Z46" s="4" t="inlineStr">
        <is>
          <t>não</t>
        </is>
      </c>
      <c r="AA46" s="4" t="inlineStr">
        <is>
          <t>leitura caso a caso</t>
        </is>
      </c>
      <c r="AB46" s="4" t="inlineStr">
        <is>
          <t>Fora do indicador: o ativo não existe na base de interrupção. Sem registro de interrupção não há evento a medir.</t>
        </is>
      </c>
      <c r="AC46" s="2" t="inlineStr">
        <is>
          <t>transformador e para  raio queimado</t>
        </is>
      </c>
      <c r="AD46" s="2" t="inlineStr">
        <is>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is>
      </c>
    </row>
    <row r="47" ht="45" customHeight="1">
      <c r="A47" s="2" t="inlineStr">
        <is>
          <t>DG-RD-PO 00179/2026</t>
        </is>
      </c>
      <c r="B47" s="2" t="inlineStr">
        <is>
          <t>fev</t>
        </is>
      </c>
      <c r="C47" s="3" t="inlineStr">
        <is>
          <t>Sem interrupção comprovada</t>
        </is>
      </c>
      <c r="D47" s="2" t="inlineStr">
        <is>
          <t>Sem interrupção</t>
        </is>
      </c>
      <c r="E47" s="2" t="inlineStr">
        <is>
          <t>EXPURGO</t>
        </is>
      </c>
      <c r="F47" s="2" t="inlineStr">
        <is>
          <t>QUEIMADO</t>
        </is>
      </c>
      <c r="G47" s="2" t="inlineStr">
        <is>
          <t>esteira 1.582</t>
        </is>
      </c>
      <c r="H47" s="2" t="inlineStr">
        <is>
          <t>AUSENTE DA CRÍTICA</t>
        </is>
      </c>
      <c r="I47" s="2" t="n">
        <v>5710046096</v>
      </c>
      <c r="J47" s="2" t="inlineStr">
        <is>
          <t>DG-MLPO01  000039/2026</t>
        </is>
      </c>
      <c r="K47" s="2" t="n">
        <v>312500671</v>
      </c>
      <c r="L47" s="2" t="inlineStr">
        <is>
          <t>2026-02-12 10:28</t>
        </is>
      </c>
      <c r="M47" s="2" t="inlineStr">
        <is>
          <t>2026-02-12 10:44</t>
        </is>
      </c>
      <c r="N47" s="2" t="inlineStr">
        <is>
          <t>FORMS SUBST DE TRANSFORMADOR</t>
        </is>
      </c>
      <c r="O47" s="2" t="inlineStr">
        <is>
          <t>DG-RD-PO</t>
        </is>
      </c>
      <c r="P47" s="2" t="inlineStr">
        <is>
          <t>PINDORAMA DO TOCANTINS</t>
        </is>
      </c>
      <c r="Q47" s="2" t="inlineStr">
        <is>
          <t>QUEIMADO</t>
        </is>
      </c>
      <c r="R47" s="2" t="inlineStr">
        <is>
          <t>DESCARGA ATMOSFÉRICA</t>
        </is>
      </c>
      <c r="S47" s="2" t="inlineStr">
        <is>
          <t>1463815</t>
        </is>
      </c>
      <c r="T47" s="2" t="n">
        <v>1219870</v>
      </c>
      <c r="U47" s="2" t="inlineStr">
        <is>
          <t>sim</t>
        </is>
      </c>
      <c r="V47" s="2" t="n"/>
      <c r="W47" s="2" t="n"/>
      <c r="X47" s="2" t="n"/>
      <c r="Y47" s="2" t="n"/>
      <c r="Z47" s="4" t="inlineStr">
        <is>
          <t>SIM</t>
        </is>
      </c>
      <c r="AA47" s="4" t="inlineStr">
        <is>
          <t>leitura caso a caso</t>
        </is>
      </c>
      <c r="AB47" s="4" t="inlineStr">
        <is>
          <t>Fora do indicador: o ativo não existe na base de interrupção. Sem registro de interrupção não há evento a medir.</t>
        </is>
      </c>
      <c r="AC47" s="2" t="inlineStr">
        <is>
          <t>SEGUE SS PARA SUBSTITUIR TRAFO QEUIMADO NA RDR DE PINDORAMAOBS: NOTA CRIADA PARA SUBST. A SS 800/2025 QUE FOI ABERTA NO TRAFO ERRADO</t>
        </is>
      </c>
      <c r="AD47" s="2" t="inlineStr">
        <is>
          <t xml:space="preserve">medido_ 
emergencial_ 
substituição de trafo queimado rdr pindorama 
obs: OS CRIADA PARA SUBSTITUIR MLPO0190/2025 OBRA 0312500671 TRAFO ERRADO </t>
        </is>
      </c>
    </row>
    <row r="48" ht="45" customHeight="1">
      <c r="A48" s="2" t="inlineStr">
        <is>
          <t>DG-RD-PO 00180/2026</t>
        </is>
      </c>
      <c r="B48" s="2" t="inlineStr">
        <is>
          <t>fev</t>
        </is>
      </c>
      <c r="C48" s="3" t="inlineStr">
        <is>
          <t>Sem interrupção comprovada</t>
        </is>
      </c>
      <c r="D48" s="2" t="inlineStr">
        <is>
          <t>Sem interrupção</t>
        </is>
      </c>
      <c r="E48" s="2" t="inlineStr">
        <is>
          <t>EXPURGO</t>
        </is>
      </c>
      <c r="F48" s="2" t="inlineStr">
        <is>
          <t>QUEIMADO</t>
        </is>
      </c>
      <c r="G48" s="2" t="inlineStr">
        <is>
          <t>esteira 1.582</t>
        </is>
      </c>
      <c r="H48" s="2" t="inlineStr">
        <is>
          <t>AUSENTE DA CRÍTICA</t>
        </is>
      </c>
      <c r="I48" s="2" t="n">
        <v>5710046096</v>
      </c>
      <c r="J48" s="2" t="inlineStr">
        <is>
          <t>DG-MPDG01  000049/2026</t>
        </is>
      </c>
      <c r="K48" s="2" t="n">
        <v>312500675</v>
      </c>
      <c r="L48" s="2" t="inlineStr">
        <is>
          <t>2026-02-12 10:44</t>
        </is>
      </c>
      <c r="M48" s="2" t="inlineStr">
        <is>
          <t>2026-02-12 11:05</t>
        </is>
      </c>
      <c r="N48" s="2" t="inlineStr">
        <is>
          <t>FORMS SUBST DE TRANSFORMADOR</t>
        </is>
      </c>
      <c r="O48" s="2" t="inlineStr">
        <is>
          <t>DG-RD-PO</t>
        </is>
      </c>
      <c r="P48" s="2" t="inlineStr">
        <is>
          <t>PINDORAMA DO TOCANTINS</t>
        </is>
      </c>
      <c r="Q48" s="2" t="inlineStr">
        <is>
          <t>GARANTIA DE TRAFO</t>
        </is>
      </c>
      <c r="R48" s="2" t="inlineStr">
        <is>
          <t>DESCARGA ATMOSFÉRICA</t>
        </is>
      </c>
      <c r="S48" s="2" t="inlineStr">
        <is>
          <t>1219870</t>
        </is>
      </c>
      <c r="T48" s="2" t="n">
        <v>586782</v>
      </c>
      <c r="U48" s="2" t="inlineStr">
        <is>
          <t>sim</t>
        </is>
      </c>
      <c r="V48" s="2" t="n"/>
      <c r="W48" s="2" t="n"/>
      <c r="X48" s="2" t="n"/>
      <c r="Y48" s="2" t="n"/>
      <c r="Z48" s="4" t="inlineStr">
        <is>
          <t>não</t>
        </is>
      </c>
      <c r="AA48" s="4" t="inlineStr">
        <is>
          <t>leitura caso a caso</t>
        </is>
      </c>
      <c r="AB48" s="4" t="inlineStr">
        <is>
          <t>Fora do indicador: o ativo não existe na base de interrupção. Sem registro de interrupção não há evento a medir.</t>
        </is>
      </c>
      <c r="AC48" s="2" t="inlineStr">
        <is>
          <t>SEGUE SS PARA SUBSTITUIR TRAFO QUEIMADO OBS: NOTA CRIADA PARA SUBST. SS 814/2025 ABERTA NO TRAFO ERRADO</t>
        </is>
      </c>
      <c r="AD48" s="2" t="inlineStr">
        <is>
          <t xml:space="preserve">medido_ 
emergencial_ 
substituição de trafo queimado rdr pindorama 
obs: OS SUBSITUINDO OS MPDG01 210-2025 OBRA 0312500675 TRAFO ERRADO </t>
        </is>
      </c>
    </row>
    <row r="49" ht="45" customHeight="1">
      <c r="A49" s="2" t="inlineStr">
        <is>
          <t>DOLP-RD-PA 00303/2026</t>
        </is>
      </c>
      <c r="B49" s="2" t="inlineStr">
        <is>
          <t>fev</t>
        </is>
      </c>
      <c r="C49" s="3" t="inlineStr">
        <is>
          <t>Sem interrupção comprovada</t>
        </is>
      </c>
      <c r="D49" s="2" t="inlineStr">
        <is>
          <t>Sem interrupção</t>
        </is>
      </c>
      <c r="E49" s="2" t="inlineStr">
        <is>
          <t>EXPURGO</t>
        </is>
      </c>
      <c r="F49" s="2" t="inlineStr">
        <is>
          <t>AVARIADO</t>
        </is>
      </c>
      <c r="G49" s="2" t="inlineStr">
        <is>
          <t>esteira 1.582</t>
        </is>
      </c>
      <c r="H49" s="2" t="inlineStr">
        <is>
          <t>AUSENTE DA CRÍTICA</t>
        </is>
      </c>
      <c r="I49" s="2" t="n">
        <v>5722285006</v>
      </c>
      <c r="J49" s="2" t="inlineStr">
        <is>
          <t>DLP-MPPA01  000076/2026</t>
        </is>
      </c>
      <c r="K49" s="2" t="n">
        <v>112600434</v>
      </c>
      <c r="L49" s="2" t="inlineStr">
        <is>
          <t>2026-02-28 08:04</t>
        </is>
      </c>
      <c r="M49" s="2" t="inlineStr">
        <is>
          <t>2026-03-23 09:00</t>
        </is>
      </c>
      <c r="N49" s="2" t="inlineStr">
        <is>
          <t>FORMS SUBST DE TRANSFORMADOR</t>
        </is>
      </c>
      <c r="O49" s="2" t="inlineStr">
        <is>
          <t>DOLP-RD-PA</t>
        </is>
      </c>
      <c r="P49" s="2" t="inlineStr">
        <is>
          <t>TOCANTINIA</t>
        </is>
      </c>
      <c r="Q49" s="2" t="inlineStr">
        <is>
          <t>QUEIMADO</t>
        </is>
      </c>
      <c r="R49" s="2" t="inlineStr">
        <is>
          <t>VAZAMENTO DE ÓLEO</t>
        </is>
      </c>
      <c r="S49" s="2" t="inlineStr">
        <is>
          <t>562169031</t>
        </is>
      </c>
      <c r="T49" s="2" t="n">
        <v>586768</v>
      </c>
      <c r="U49" s="2" t="inlineStr">
        <is>
          <t>sim</t>
        </is>
      </c>
      <c r="V49" s="2" t="n"/>
      <c r="W49" s="2" t="n"/>
      <c r="X49" s="2" t="n"/>
      <c r="Y49" s="2" t="n"/>
      <c r="Z49" s="4" t="inlineStr">
        <is>
          <t>SIM</t>
        </is>
      </c>
      <c r="AA49" s="4" t="inlineStr">
        <is>
          <t>leitura caso a caso</t>
        </is>
      </c>
      <c r="AB49" s="4" t="inlineStr">
        <is>
          <t>Fora do indicador: o ativo não existe na base de interrupção. Sem registro de interrupção não há evento a medir.</t>
        </is>
      </c>
      <c r="AC49" s="2" t="inlineStr">
        <is>
          <t>trafo 5722285006 vazaMENTO DE Óleo acesso livre potencia 30 kva tensão 34,5 para-raio queimado obs: leva porta fusivel para fecha o trafo</t>
        </is>
      </c>
      <c r="AD49" s="2"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50" ht="90" customHeight="1">
      <c r="A50" s="2" t="inlineStr">
        <is>
          <t>ENC-RD-PS 00177/2026</t>
        </is>
      </c>
      <c r="B50" s="2" t="inlineStr">
        <is>
          <t>fev</t>
        </is>
      </c>
      <c r="C50" s="3" t="inlineStr">
        <is>
          <t>Sem interrupção comprovada</t>
        </is>
      </c>
      <c r="D50" s="2" t="inlineStr">
        <is>
          <t>Sem interrupção</t>
        </is>
      </c>
      <c r="E50" s="2" t="inlineStr">
        <is>
          <t>EXPURGO</t>
        </is>
      </c>
      <c r="F50" s="2" t="inlineStr">
        <is>
          <t>QUEIMADO</t>
        </is>
      </c>
      <c r="G50" s="2" t="inlineStr">
        <is>
          <t>esteira 1.582</t>
        </is>
      </c>
      <c r="H50" s="2" t="inlineStr">
        <is>
          <t>AUSENTE DA CRÍTICA</t>
        </is>
      </c>
      <c r="I50" s="2" t="n">
        <v>5701299084</v>
      </c>
      <c r="J50" s="2" t="inlineStr">
        <is>
          <t>ENC-LMPS04  000027/2026</t>
        </is>
      </c>
      <c r="K50" s="2" t="n">
        <v>212600157</v>
      </c>
      <c r="L50" s="2" t="inlineStr">
        <is>
          <t>2026-02-02 14:50</t>
        </is>
      </c>
      <c r="M50" s="2" t="inlineStr">
        <is>
          <t>2026-02-03 19:00</t>
        </is>
      </c>
      <c r="N50" s="2" t="inlineStr">
        <is>
          <t>FORMS SUBST DE TRANSFORMADOR</t>
        </is>
      </c>
      <c r="O50" s="2" t="inlineStr">
        <is>
          <t>ENC-RD-PS</t>
        </is>
      </c>
      <c r="P50" s="2" t="inlineStr">
        <is>
          <t>DIVINOPOLIS DO TOCANTINS</t>
        </is>
      </c>
      <c r="Q50" s="2" t="inlineStr">
        <is>
          <t>QUEIMADO</t>
        </is>
      </c>
      <c r="R50" s="2" t="inlineStr">
        <is>
          <t>DESCARGA ATMOSFÉRICA</t>
        </is>
      </c>
      <c r="S50" s="2" t="inlineStr">
        <is>
          <t>111028</t>
        </is>
      </c>
      <c r="T50" s="2" t="n">
        <v>811235</v>
      </c>
      <c r="U50" s="2" t="inlineStr">
        <is>
          <t>sim</t>
        </is>
      </c>
      <c r="V50" s="2" t="inlineStr">
        <is>
          <t>PARA-RAIOS</t>
        </is>
      </c>
      <c r="W50" s="2" t="inlineStr">
        <is>
          <t>PARA-RAIOS CURTO-CIRCUITADO</t>
        </is>
      </c>
      <c r="X50" s="2" t="n"/>
      <c r="Y50" s="2" t="n"/>
      <c r="Z50" s="4" t="inlineStr">
        <is>
          <t>SIM</t>
        </is>
      </c>
      <c r="AA50" s="4" t="inlineStr">
        <is>
          <t>leitura caso a caso</t>
        </is>
      </c>
      <c r="AB50"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0" s="2" t="inlineStr">
        <is>
          <t>Segue ss para tratativa com equipe de manutençao o quanto antessubstituir trafo 5701299084</t>
        </is>
      </c>
      <c r="AD50" s="2" t="inlineStr">
        <is>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is>
      </c>
    </row>
    <row r="51" ht="120" customHeight="1">
      <c r="A51" s="2" t="inlineStr">
        <is>
          <t>ENC-RD-PS 00246/2026</t>
        </is>
      </c>
      <c r="B51" s="2" t="inlineStr">
        <is>
          <t>fev</t>
        </is>
      </c>
      <c r="C51" s="3" t="inlineStr">
        <is>
          <t>Sem interrupção comprovada</t>
        </is>
      </c>
      <c r="D51" s="2" t="inlineStr">
        <is>
          <t>Sem interrupção</t>
        </is>
      </c>
      <c r="E51" s="2" t="inlineStr">
        <is>
          <t>EXPURGO</t>
        </is>
      </c>
      <c r="F51" s="2" t="inlineStr">
        <is>
          <t>QUEIMADO</t>
        </is>
      </c>
      <c r="G51" s="2" t="inlineStr">
        <is>
          <t>esteira 1.582</t>
        </is>
      </c>
      <c r="H51" s="2" t="inlineStr">
        <is>
          <t>AUSENTE DA CRÍTICA</t>
        </is>
      </c>
      <c r="I51" s="2" t="n">
        <v>5720337055</v>
      </c>
      <c r="J51" s="2" t="inlineStr">
        <is>
          <t>ENC-LMPS04  000039/2026</t>
        </is>
      </c>
      <c r="K51" s="2" t="n">
        <v>212600217</v>
      </c>
      <c r="L51" s="2" t="inlineStr">
        <is>
          <t>2026-02-17 15:45</t>
        </is>
      </c>
      <c r="M51" s="2" t="inlineStr">
        <is>
          <t>2026-02-18 16:00</t>
        </is>
      </c>
      <c r="N51" s="2" t="inlineStr">
        <is>
          <t>FORMS SUBST DE TRANSFORMADOR</t>
        </is>
      </c>
      <c r="O51" s="2" t="inlineStr">
        <is>
          <t>ENC-RD-PS</t>
        </is>
      </c>
      <c r="P51" s="2" t="inlineStr">
        <is>
          <t>ARAGUACEMA</t>
        </is>
      </c>
      <c r="Q51" s="2" t="inlineStr">
        <is>
          <t>QUEIMADO</t>
        </is>
      </c>
      <c r="R51" s="2" t="inlineStr">
        <is>
          <t>DESCARGA ATMOSFÉRICA</t>
        </is>
      </c>
      <c r="S51" s="2" t="inlineStr">
        <is>
          <t>367926</t>
        </is>
      </c>
      <c r="T51" s="2" t="n">
        <v>572129</v>
      </c>
      <c r="U51" s="2" t="inlineStr">
        <is>
          <t>sim</t>
        </is>
      </c>
      <c r="V51" s="2" t="inlineStr">
        <is>
          <t>MEIO AMBIENTE</t>
        </is>
      </c>
      <c r="W51" s="2" t="inlineStr">
        <is>
          <t>DESCARGA ATMOSFERICA</t>
        </is>
      </c>
      <c r="X51" s="2" t="inlineStr">
        <is>
          <t>TRANSFORMADOR</t>
        </is>
      </c>
      <c r="Y51" s="2" t="inlineStr">
        <is>
          <t>QUEIMADO POR DESCARGA ATMOSFERICA</t>
        </is>
      </c>
      <c r="Z51" s="4" t="inlineStr">
        <is>
          <t>SIM</t>
        </is>
      </c>
      <c r="AA51" s="4" t="inlineStr">
        <is>
          <t>leitura caso a caso</t>
        </is>
      </c>
      <c r="AB51" s="4"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AC51" s="2" t="inlineStr">
        <is>
          <t>TR 572033705515KVAPARA RAIO DANIFIFCADO 34500CAMINHONETE EQUIPE 055OP01</t>
        </is>
      </c>
      <c r="AD51" s="2" t="inlineStr">
        <is>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is>
      </c>
    </row>
    <row r="52" ht="45" customHeight="1">
      <c r="A52" s="2" t="inlineStr">
        <is>
          <t>ENC-RD-PS 00259/2026</t>
        </is>
      </c>
      <c r="B52" s="2" t="inlineStr">
        <is>
          <t>fev</t>
        </is>
      </c>
      <c r="C52" s="3" t="inlineStr">
        <is>
          <t>Sem interrupção comprovada</t>
        </is>
      </c>
      <c r="D52" s="2" t="inlineStr">
        <is>
          <t>Sem interrupção</t>
        </is>
      </c>
      <c r="E52" s="2" t="inlineStr">
        <is>
          <t>EXPURGO</t>
        </is>
      </c>
      <c r="F52" s="2" t="inlineStr">
        <is>
          <t>QUEIMADO</t>
        </is>
      </c>
      <c r="G52" s="2" t="inlineStr">
        <is>
          <t>esteira 1.582</t>
        </is>
      </c>
      <c r="H52" s="2" t="inlineStr">
        <is>
          <t>AUSENTE DA CRÍTICA</t>
        </is>
      </c>
      <c r="I52" s="2" t="n">
        <v>5700191054</v>
      </c>
      <c r="J52" s="2" t="inlineStr">
        <is>
          <t>ENC-LMPS01  000074/2026</t>
        </is>
      </c>
      <c r="K52" s="2" t="n">
        <v>212600238</v>
      </c>
      <c r="L52" s="2" t="inlineStr">
        <is>
          <t>2026-02-20 13:46</t>
        </is>
      </c>
      <c r="M52" s="2" t="inlineStr">
        <is>
          <t>2026-02-22 07:41</t>
        </is>
      </c>
      <c r="N52" s="2" t="inlineStr">
        <is>
          <t>FORMS SUBST DE TRANSFORMADOR</t>
        </is>
      </c>
      <c r="O52" s="2" t="inlineStr">
        <is>
          <t>ENC-RD-PS</t>
        </is>
      </c>
      <c r="P52" s="2" t="inlineStr">
        <is>
          <t>PUGMIL</t>
        </is>
      </c>
      <c r="Q52" s="2" t="inlineStr">
        <is>
          <t>QUEIMADO</t>
        </is>
      </c>
      <c r="R52" s="2" t="inlineStr">
        <is>
          <t>ABALROADO</t>
        </is>
      </c>
      <c r="S52" s="2" t="inlineStr">
        <is>
          <t>C241333</t>
        </is>
      </c>
      <c r="T52" s="2" t="n"/>
      <c r="U52" s="2" t="inlineStr">
        <is>
          <t>não</t>
        </is>
      </c>
      <c r="V52" s="2" t="inlineStr">
        <is>
          <t>POSTE DE AT</t>
        </is>
      </c>
      <c r="W52" s="2" t="inlineStr">
        <is>
          <t>ABALROADO</t>
        </is>
      </c>
      <c r="X52" s="2" t="inlineStr">
        <is>
          <t>POSTE DE AT</t>
        </is>
      </c>
      <c r="Y52" s="2" t="inlineStr">
        <is>
          <t>ABALROADO</t>
        </is>
      </c>
      <c r="Z52" s="4" t="inlineStr">
        <is>
          <t>não</t>
        </is>
      </c>
      <c r="AA52" s="4" t="inlineStr">
        <is>
          <t>leitura caso a caso</t>
        </is>
      </c>
      <c r="AB52" s="4" t="inlineStr">
        <is>
          <t>Fora do indicador: o ativo não existe na base de interrupção. Sem registro de interrupção não há evento a medir.</t>
        </is>
      </c>
      <c r="AC52" s="2" t="inlineStr">
        <is>
          <t>substituir poste ID 47042587 10/300 estrutura do TR 5700191054 15KVA 19,9KV ACESSO BOM fotos anexadas na OS 20264131749370</t>
        </is>
      </c>
      <c r="AD52" s="2" t="inlineStr">
        <is>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is>
      </c>
    </row>
    <row r="53" ht="90" customHeight="1">
      <c r="A53" s="2" t="inlineStr">
        <is>
          <t>ETO-RD-AG 00164/2026</t>
        </is>
      </c>
      <c r="B53" s="2" t="inlineStr">
        <is>
          <t>fev</t>
        </is>
      </c>
      <c r="C53" s="3" t="inlineStr">
        <is>
          <t>Sem interrupção comprovada</t>
        </is>
      </c>
      <c r="D53" s="2" t="inlineStr">
        <is>
          <t>Sem interrupção</t>
        </is>
      </c>
      <c r="E53" s="2" t="inlineStr">
        <is>
          <t>EXPURGO</t>
        </is>
      </c>
      <c r="F53" s="2" t="inlineStr">
        <is>
          <t>QUEIMADO</t>
        </is>
      </c>
      <c r="G53" s="2" t="inlineStr">
        <is>
          <t>esteira 1.582</t>
        </is>
      </c>
      <c r="H53" s="2" t="inlineStr">
        <is>
          <t>AUSENTE DA CRÍTICA</t>
        </is>
      </c>
      <c r="I53" s="2" t="n">
        <v>5700032103</v>
      </c>
      <c r="J53" s="2" t="inlineStr">
        <is>
          <t>ENC-MPAG02  000017/2026</t>
        </is>
      </c>
      <c r="K53" s="2" t="n">
        <v>662600087</v>
      </c>
      <c r="L53" s="2" t="inlineStr">
        <is>
          <t>2026-02-07 19:18</t>
        </is>
      </c>
      <c r="M53" s="2" t="inlineStr">
        <is>
          <t>2026-02-08 01:55</t>
        </is>
      </c>
      <c r="N53" s="2" t="inlineStr">
        <is>
          <t>FORMS SUBST DE TRANSFORMADOR</t>
        </is>
      </c>
      <c r="O53" s="2" t="inlineStr">
        <is>
          <t>ETO-RD-AG</t>
        </is>
      </c>
      <c r="P53" s="2" t="inlineStr">
        <is>
          <t>SAO MIGUEL DO TOCANTINS</t>
        </is>
      </c>
      <c r="Q53" s="2" t="inlineStr">
        <is>
          <t>QUEIMADO</t>
        </is>
      </c>
      <c r="R53" s="2" t="inlineStr">
        <is>
          <t>DESCARGA ATMOSFÉRICA</t>
        </is>
      </c>
      <c r="S53" s="2" t="inlineStr">
        <is>
          <t>990387</t>
        </is>
      </c>
      <c r="T53" s="2" t="n">
        <v>20084012</v>
      </c>
      <c r="U53" s="2" t="inlineStr">
        <is>
          <t>sim</t>
        </is>
      </c>
      <c r="V53" s="2" t="n"/>
      <c r="W53" s="2" t="n"/>
      <c r="X53" s="2" t="n"/>
      <c r="Y53" s="2" t="n"/>
      <c r="Z53" s="4" t="inlineStr">
        <is>
          <t>SIM</t>
        </is>
      </c>
      <c r="AA53" s="4" t="inlineStr">
        <is>
          <t>leitura caso a caso</t>
        </is>
      </c>
      <c r="AB53"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3" s="2" t="inlineStr">
        <is>
          <t>trafo queimado</t>
        </is>
      </c>
      <c r="AD53" s="2" t="inlineStr">
        <is>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is>
      </c>
    </row>
    <row r="54" ht="45" customHeight="1">
      <c r="A54" s="2" t="inlineStr">
        <is>
          <t>ETO-RD-AR 00207/2026</t>
        </is>
      </c>
      <c r="B54" s="2" t="inlineStr">
        <is>
          <t>fev</t>
        </is>
      </c>
      <c r="C54" s="3" t="inlineStr">
        <is>
          <t>Sem interrupção comprovada</t>
        </is>
      </c>
      <c r="D54" s="2" t="inlineStr">
        <is>
          <t>Sem interrupção</t>
        </is>
      </c>
      <c r="E54" s="2" t="inlineStr">
        <is>
          <t>EXPURGO</t>
        </is>
      </c>
      <c r="F54" s="2" t="inlineStr">
        <is>
          <t>QUEIMADO</t>
        </is>
      </c>
      <c r="G54" s="2" t="inlineStr">
        <is>
          <t>esteira 1.582</t>
        </is>
      </c>
      <c r="H54" s="2" t="inlineStr">
        <is>
          <t>AUSENTE DA CRÍTICA</t>
        </is>
      </c>
      <c r="I54" s="2" t="n">
        <v>5366985025</v>
      </c>
      <c r="J54" s="2" t="inlineStr">
        <is>
          <t>ENC-MLAR05  000089/2026</t>
        </is>
      </c>
      <c r="K54" s="2" t="n">
        <v>612600141</v>
      </c>
      <c r="L54" s="2" t="inlineStr">
        <is>
          <t>2026-02-02 13:43</t>
        </is>
      </c>
      <c r="M54" s="2" t="inlineStr">
        <is>
          <t>2026-02-02 18:00</t>
        </is>
      </c>
      <c r="N54" s="2" t="inlineStr">
        <is>
          <t>FORMS SUBST DE TRANSFORMADOR</t>
        </is>
      </c>
      <c r="O54" s="2" t="inlineStr">
        <is>
          <t>ETO-RD-AR</t>
        </is>
      </c>
      <c r="P54" s="2" t="inlineStr">
        <is>
          <t>ARAPOEMA</t>
        </is>
      </c>
      <c r="Q54" s="2" t="inlineStr">
        <is>
          <t>QUEIMADO</t>
        </is>
      </c>
      <c r="R54" s="2" t="inlineStr">
        <is>
          <t>DESCARGA ATMOSFÉRICA</t>
        </is>
      </c>
      <c r="S54" s="2" t="inlineStr">
        <is>
          <t>C 287221</t>
        </is>
      </c>
      <c r="T54" s="2" t="n">
        <v>820280</v>
      </c>
      <c r="U54" s="2" t="inlineStr">
        <is>
          <t>sim</t>
        </is>
      </c>
      <c r="V54" s="2" t="n"/>
      <c r="W54" s="2" t="n"/>
      <c r="X54" s="2" t="n"/>
      <c r="Y54" s="2" t="n"/>
      <c r="Z54" s="4" t="inlineStr">
        <is>
          <t>SIM</t>
        </is>
      </c>
      <c r="AA54" s="4" t="inlineStr">
        <is>
          <t>leitura caso a caso</t>
        </is>
      </c>
      <c r="AB54" s="4" t="inlineStr">
        <is>
          <t>Fora do indicador: o ativo não existe na base de interrupção. Sem registro de interrupção não há evento a medir.</t>
        </is>
      </c>
      <c r="AC54" s="2" t="inlineStr">
        <is>
          <t>Boa noite,Favor enviar manutenção para subsitutir trafo 5366985025</t>
        </is>
      </c>
      <c r="AD54" s="2" t="inlineStr">
        <is>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is>
      </c>
    </row>
    <row r="55" ht="45" customHeight="1">
      <c r="A55" s="2" t="inlineStr">
        <is>
          <t>ETO-RD-AR 00243/2026</t>
        </is>
      </c>
      <c r="B55" s="2" t="inlineStr">
        <is>
          <t>fev</t>
        </is>
      </c>
      <c r="C55" s="3" t="inlineStr">
        <is>
          <t>Sem interrupção comprovada</t>
        </is>
      </c>
      <c r="D55" s="2" t="inlineStr">
        <is>
          <t>Sem interrupção</t>
        </is>
      </c>
      <c r="E55" s="2" t="inlineStr">
        <is>
          <t>EXPURGO</t>
        </is>
      </c>
      <c r="F55" s="2" t="inlineStr">
        <is>
          <t>AVARIADO</t>
        </is>
      </c>
      <c r="G55" s="2" t="inlineStr">
        <is>
          <t>esteira 1.582</t>
        </is>
      </c>
      <c r="H55" s="2" t="inlineStr">
        <is>
          <t>AUSENTE DA CRÍTICA</t>
        </is>
      </c>
      <c r="I55" s="2" t="n">
        <v>5701262019</v>
      </c>
      <c r="J55" s="2" t="inlineStr">
        <is>
          <t>ENC-MLAR05  000091/2026</t>
        </is>
      </c>
      <c r="K55" s="2" t="n">
        <v>612600149</v>
      </c>
      <c r="L55" s="2" t="inlineStr">
        <is>
          <t>2026-02-04 18:47</t>
        </is>
      </c>
      <c r="M55" s="2" t="inlineStr">
        <is>
          <t>2026-02-04 18:05</t>
        </is>
      </c>
      <c r="N55" s="2" t="inlineStr">
        <is>
          <t>FORMS SUBST DE TRANSFORMADOR</t>
        </is>
      </c>
      <c r="O55" s="2" t="inlineStr">
        <is>
          <t>ETO-RD-AR</t>
        </is>
      </c>
      <c r="P55" s="2" t="inlineStr">
        <is>
          <t>FILADELFIA</t>
        </is>
      </c>
      <c r="Q55" s="2" t="inlineStr">
        <is>
          <t>AVARIADO</t>
        </is>
      </c>
      <c r="R55" s="2" t="inlineStr">
        <is>
          <t>VAZAMENTO DE ÓLEO</t>
        </is>
      </c>
      <c r="S55" s="2" t="inlineStr">
        <is>
          <t>175731</t>
        </is>
      </c>
      <c r="T55" s="2" t="n">
        <v>820283</v>
      </c>
      <c r="U55" s="2" t="inlineStr">
        <is>
          <t>sim</t>
        </is>
      </c>
      <c r="V55" s="2" t="n"/>
      <c r="W55" s="2" t="n"/>
      <c r="X55" s="2" t="n"/>
      <c r="Y55" s="2" t="n"/>
      <c r="Z55" s="4" t="inlineStr">
        <is>
          <t>não</t>
        </is>
      </c>
      <c r="AA55" s="4" t="inlineStr">
        <is>
          <t>leitura caso a caso</t>
        </is>
      </c>
      <c r="AB55" s="4" t="inlineStr">
        <is>
          <t>Fora do indicador: o ativo não existe na base de interrupção. Sem registro de interrupção não há evento a medir.</t>
        </is>
      </c>
      <c r="AC55" s="2" t="inlineStr">
        <is>
          <t>Trafo 5701262019 avariado 15kvaTensão: 19.9Acesso livre</t>
        </is>
      </c>
      <c r="AD55" s="2" t="inlineStr">
        <is>
          <t xml:space="preserve">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 
</t>
        </is>
      </c>
    </row>
    <row r="56" ht="90" customHeight="1">
      <c r="A56" s="2" t="inlineStr">
        <is>
          <t>ETO-RD-AR 00315/2026</t>
        </is>
      </c>
      <c r="B56" s="2" t="inlineStr">
        <is>
          <t>fev</t>
        </is>
      </c>
      <c r="C56" s="3" t="inlineStr">
        <is>
          <t>Sem interrupção comprovada</t>
        </is>
      </c>
      <c r="D56" s="2" t="inlineStr">
        <is>
          <t>Sem interrupção</t>
        </is>
      </c>
      <c r="E56" s="2" t="inlineStr">
        <is>
          <t>EXPURGO</t>
        </is>
      </c>
      <c r="F56" s="2" t="inlineStr">
        <is>
          <t>AVARIADO</t>
        </is>
      </c>
      <c r="G56" s="2" t="inlineStr">
        <is>
          <t>esteira 1.582</t>
        </is>
      </c>
      <c r="H56" s="2" t="inlineStr">
        <is>
          <t>AUSENTE DA CRÍTICA</t>
        </is>
      </c>
      <c r="I56" s="2" t="n">
        <v>5702058004</v>
      </c>
      <c r="J56" s="2" t="inlineStr">
        <is>
          <t>ENC-MLAR05  000118/2026</t>
        </is>
      </c>
      <c r="K56" s="2" t="n">
        <v>612600195</v>
      </c>
      <c r="L56" s="2" t="inlineStr">
        <is>
          <t>2026-02-15 23:00</t>
        </is>
      </c>
      <c r="M56" s="2" t="inlineStr">
        <is>
          <t>2026-02-16 13:49</t>
        </is>
      </c>
      <c r="N56" s="2" t="inlineStr">
        <is>
          <t>AVISO DE ANOMALIA</t>
        </is>
      </c>
      <c r="O56" s="2" t="inlineStr">
        <is>
          <t>ETO-RD-AR</t>
        </is>
      </c>
      <c r="P56" s="2" t="inlineStr">
        <is>
          <t>ARAGUAINA</t>
        </is>
      </c>
      <c r="Q56" s="2" t="inlineStr">
        <is>
          <t>AVARIADO</t>
        </is>
      </c>
      <c r="R56" s="2" t="inlineStr">
        <is>
          <t>VAZAMENTO DE ÓLEO</t>
        </is>
      </c>
      <c r="S56" s="2" t="inlineStr">
        <is>
          <t>182492</t>
        </is>
      </c>
      <c r="T56" s="2" t="n">
        <v>138720</v>
      </c>
      <c r="U56" s="2" t="inlineStr">
        <is>
          <t>sim</t>
        </is>
      </c>
      <c r="V56" s="2" t="inlineStr">
        <is>
          <t>CONEXAO</t>
        </is>
      </c>
      <c r="W56" s="2" t="inlineStr">
        <is>
          <t>CONEXAO DANIFICADA RAMAL COM RD</t>
        </is>
      </c>
      <c r="X56" s="2" t="n"/>
      <c r="Y56" s="2" t="n"/>
      <c r="Z56" s="4" t="inlineStr">
        <is>
          <t>não</t>
        </is>
      </c>
      <c r="AA56" s="4" t="inlineStr">
        <is>
          <t>leitura caso a caso</t>
        </is>
      </c>
      <c r="AB5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6" s="2" t="inlineStr">
        <is>
          <t>trafo faltanto fase interno secundaria 5702058004 e com vazamento de oleopot 30kvatensao 34,5kvacesso caminhonetefazenda sao paulo GRANJA</t>
        </is>
      </c>
      <c r="AD56" s="2" t="inlineStr">
        <is>
          <t xml:space="preserve">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 
</t>
        </is>
      </c>
    </row>
    <row r="57" ht="45" customHeight="1">
      <c r="A57" s="2" t="inlineStr">
        <is>
          <t>ETO-RD-GR 00174/2026</t>
        </is>
      </c>
      <c r="B57" s="2" t="inlineStr">
        <is>
          <t>fev</t>
        </is>
      </c>
      <c r="C57" s="3" t="inlineStr">
        <is>
          <t>Sem interrupção comprovada</t>
        </is>
      </c>
      <c r="D57" s="2" t="inlineStr">
        <is>
          <t>Sem interrupção</t>
        </is>
      </c>
      <c r="E57" s="2" t="inlineStr">
        <is>
          <t>EXPURGO</t>
        </is>
      </c>
      <c r="F57" s="2" t="inlineStr">
        <is>
          <t>QUEIMADO</t>
        </is>
      </c>
      <c r="G57" s="2" t="inlineStr">
        <is>
          <t>esteira 1.582</t>
        </is>
      </c>
      <c r="H57" s="2" t="inlineStr">
        <is>
          <t>AUSENTE DA CRÍTICA</t>
        </is>
      </c>
      <c r="I57" s="2" t="n">
        <v>5747088104</v>
      </c>
      <c r="J57" s="2" t="inlineStr">
        <is>
          <t>ETO-RD-GR  000258/2026</t>
        </is>
      </c>
      <c r="K57" s="2" t="n">
        <v>712600133</v>
      </c>
      <c r="L57" s="2" t="inlineStr">
        <is>
          <t>2026-02-03 13:24</t>
        </is>
      </c>
      <c r="M57" s="2" t="inlineStr">
        <is>
          <t>2026-02-06 08:20</t>
        </is>
      </c>
      <c r="N57" s="2" t="inlineStr">
        <is>
          <t>FORMS SUBST DE TRANSFORMADOR</t>
        </is>
      </c>
      <c r="O57" s="2" t="inlineStr">
        <is>
          <t>ETO-RD-GR</t>
        </is>
      </c>
      <c r="P57" s="2" t="inlineStr">
        <is>
          <t>BOM JESUS DO TOCANTINS</t>
        </is>
      </c>
      <c r="Q57" s="2" t="inlineStr">
        <is>
          <t>QUEIMADO</t>
        </is>
      </c>
      <c r="R57" s="2" t="inlineStr">
        <is>
          <t>DESCARGA ATMOSFÉRICA</t>
        </is>
      </c>
      <c r="S57" s="2" t="n"/>
      <c r="T57" s="2" t="n"/>
      <c r="U57" s="2" t="inlineStr">
        <is>
          <t>não</t>
        </is>
      </c>
      <c r="V57" s="2" t="n"/>
      <c r="W57" s="2" t="n"/>
      <c r="X57" s="2" t="n"/>
      <c r="Y57" s="2" t="n"/>
      <c r="Z57" s="4" t="inlineStr">
        <is>
          <t>SIM</t>
        </is>
      </c>
      <c r="AA57" s="4" t="inlineStr">
        <is>
          <t>leitura caso a caso</t>
        </is>
      </c>
      <c r="AB57" s="4" t="inlineStr">
        <is>
          <t>Fora do indicador: o ativo não existe na base de interrupção. Sem registro de interrupção não há evento a medir.</t>
        </is>
      </c>
      <c r="AC57" s="2" t="inlineStr">
        <is>
          <t>trafo queimado 5747088104 - 15KVA - 34,5KV - Acesso caminhonete - para raio queimadofazenda conquista - cliente Jose Reis Amario da Silva tel. 9.92521087 rdr Bom Jesus do Tocantins</t>
        </is>
      </c>
      <c r="AD57" s="2" t="inlineStr">
        <is>
          <t>trafo queimado 5747088104 - 15KVA - 34,5KV - Acesso caminhonete - para raio queimado 
fazenda conquista - cliente Jose Reis Amario da Silva  
tel. 9.92521087 rdr Bom Jesus do Tocantins</t>
        </is>
      </c>
    </row>
    <row r="58" ht="45" customHeight="1">
      <c r="A58" s="2" t="inlineStr">
        <is>
          <t>ETO-RD-GR 00189/2026</t>
        </is>
      </c>
      <c r="B58" s="2" t="inlineStr">
        <is>
          <t>fev</t>
        </is>
      </c>
      <c r="C58" s="3" t="inlineStr">
        <is>
          <t>Sem interrupção comprovada</t>
        </is>
      </c>
      <c r="D58" s="2" t="inlineStr">
        <is>
          <t>Sem interrupção</t>
        </is>
      </c>
      <c r="E58" s="2" t="inlineStr">
        <is>
          <t>EXPURGO</t>
        </is>
      </c>
      <c r="F58" s="2" t="inlineStr">
        <is>
          <t>QUEIMADO</t>
        </is>
      </c>
      <c r="G58" s="2" t="inlineStr">
        <is>
          <t>esteira 1.582</t>
        </is>
      </c>
      <c r="H58" s="2" t="inlineStr">
        <is>
          <t>AUSENTE DA CRÍTICA</t>
        </is>
      </c>
      <c r="I58" s="2" t="n">
        <v>5700424154</v>
      </c>
      <c r="J58" s="2" t="inlineStr">
        <is>
          <t>ETO-RD-GR  000256/2026</t>
        </is>
      </c>
      <c r="K58" s="2" t="n">
        <v>712600129</v>
      </c>
      <c r="L58" s="2" t="inlineStr">
        <is>
          <t>2026-02-04 18:05</t>
        </is>
      </c>
      <c r="M58" s="2" t="inlineStr">
        <is>
          <t>2026-02-05 15:30</t>
        </is>
      </c>
      <c r="N58" s="2" t="inlineStr">
        <is>
          <t>FORMS SUBST DE TRANSFORMADOR</t>
        </is>
      </c>
      <c r="O58" s="2" t="inlineStr">
        <is>
          <t>ETO-RD-GR</t>
        </is>
      </c>
      <c r="P58" s="2" t="inlineStr">
        <is>
          <t>JUARINA</t>
        </is>
      </c>
      <c r="Q58" s="2" t="inlineStr">
        <is>
          <t>QUEIMADO</t>
        </is>
      </c>
      <c r="R58" s="2" t="inlineStr">
        <is>
          <t>DESCARGA ATMOSFÉRICA</t>
        </is>
      </c>
      <c r="S58" s="2" t="inlineStr">
        <is>
          <t>457208</t>
        </is>
      </c>
      <c r="T58" s="2" t="n"/>
      <c r="U58" s="2" t="inlineStr">
        <is>
          <t>não</t>
        </is>
      </c>
      <c r="V58" s="2" t="n"/>
      <c r="W58" s="2" t="n"/>
      <c r="X58" s="2" t="n"/>
      <c r="Y58" s="2" t="n"/>
      <c r="Z58" s="4" t="inlineStr">
        <is>
          <t>SIM</t>
        </is>
      </c>
      <c r="AA58" s="4" t="inlineStr">
        <is>
          <t>leitura caso a caso</t>
        </is>
      </c>
      <c r="AB58" s="4" t="inlineStr">
        <is>
          <t>Fora do indicador: o ativo não existe na base de interrupção. Sem registro de interrupção não há evento a medir.</t>
        </is>
      </c>
      <c r="AC58" s="2" t="inlineStr">
        <is>
          <t>TR-5700424154 Queimadopara raios queiamdo potência 10kvatensão 34,5kvacesso livreequipe 154op01 tel-63992674347</t>
        </is>
      </c>
      <c r="AD58" s="2" t="inlineStr">
        <is>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is>
      </c>
    </row>
    <row r="59" ht="45" customHeight="1">
      <c r="A59" s="2" t="inlineStr">
        <is>
          <t>ETO-RD-GR 00233/2026</t>
        </is>
      </c>
      <c r="B59" s="2" t="inlineStr">
        <is>
          <t>fev</t>
        </is>
      </c>
      <c r="C59" s="3" t="inlineStr">
        <is>
          <t>Sem interrupção comprovada</t>
        </is>
      </c>
      <c r="D59" s="2" t="inlineStr">
        <is>
          <t>Sem interrupção</t>
        </is>
      </c>
      <c r="E59" s="2" t="inlineStr">
        <is>
          <t>EXPURGO</t>
        </is>
      </c>
      <c r="F59" s="2" t="inlineStr">
        <is>
          <t>QUEIMADO</t>
        </is>
      </c>
      <c r="G59" s="2" t="inlineStr">
        <is>
          <t>esteira 1.582</t>
        </is>
      </c>
      <c r="H59" s="2" t="inlineStr">
        <is>
          <t>AUSENTE DA CRÍTICA</t>
        </is>
      </c>
      <c r="I59" s="2" t="n">
        <v>5700569227</v>
      </c>
      <c r="J59" s="2" t="inlineStr">
        <is>
          <t>ETO-RD-GR  000306/2026</t>
        </is>
      </c>
      <c r="K59" s="2" t="n">
        <v>712600148</v>
      </c>
      <c r="L59" s="2" t="inlineStr">
        <is>
          <t>2026-02-15 13:28</t>
        </is>
      </c>
      <c r="M59" s="2" t="inlineStr">
        <is>
          <t>2026-02-17 08:23</t>
        </is>
      </c>
      <c r="N59" s="2" t="inlineStr">
        <is>
          <t>FORMS SUBST DE TRANSFORMADOR</t>
        </is>
      </c>
      <c r="O59" s="2" t="inlineStr">
        <is>
          <t>ETO-RD-GR</t>
        </is>
      </c>
      <c r="P59" s="2" t="inlineStr">
        <is>
          <t>RECURSOLANDIA</t>
        </is>
      </c>
      <c r="Q59" s="2" t="inlineStr">
        <is>
          <t>QUEIMADO</t>
        </is>
      </c>
      <c r="R59" s="2" t="inlineStr">
        <is>
          <t>DESCARGA ATMOSFÉRICA</t>
        </is>
      </c>
      <c r="S59" s="2" t="n"/>
      <c r="T59" s="2" t="n"/>
      <c r="U59" s="2" t="inlineStr">
        <is>
          <t>não</t>
        </is>
      </c>
      <c r="V59" s="2" t="n"/>
      <c r="W59" s="2" t="n"/>
      <c r="X59" s="2" t="n"/>
      <c r="Y59" s="2" t="n"/>
      <c r="Z59" s="4" t="inlineStr">
        <is>
          <t>SIM</t>
        </is>
      </c>
      <c r="AA59" s="4" t="inlineStr">
        <is>
          <t>leitura caso a caso</t>
        </is>
      </c>
      <c r="AB59" s="4" t="inlineStr">
        <is>
          <t>Fora do indicador: o ativo não existe na base de interrupção. Sem registro de interrupção não há evento a medir.</t>
        </is>
      </c>
      <c r="AC59" s="2" t="inlineStr">
        <is>
          <t>TRAFO 5745261227 SAI COM RDU DO TRAFO 5700013227 E FICA  A FRENTE DO TRAFO 5700569227 QUEIMADO PARA RAIO TAMBÉM DE 15 KVA NA NA REDE 19,9 KV ACESSO BOM PARA CAMIONETE FOI FEITO TESTE AVAZIO COSTATADO QUEIMADO COM VAZAMENTO DE ÓLEO</t>
        </is>
      </c>
      <c r="AD59" s="2" t="inlineStr">
        <is>
          <t>TRAFO 5745261227 SAI COM RDU DO TRAFO 5700013227 E FICA  A FRENTE DO TRAFO 5700569227 QUEIMADO PARA RAIO TAMBÉM DE 15 KVA NA NA REDE 19,9 KV ACESSO BOM PARA CAMIONETE FOI FEITO TESTE AVAZIO COSTATADO QUEIMADO COM VAZAMENTO DE ÓLEO</t>
        </is>
      </c>
    </row>
    <row r="60" ht="45" customHeight="1">
      <c r="A60" s="2" t="inlineStr">
        <is>
          <t>ETO-RD-GR 00259/2026</t>
        </is>
      </c>
      <c r="B60" s="2" t="inlineStr">
        <is>
          <t>fev</t>
        </is>
      </c>
      <c r="C60" s="3" t="inlineStr">
        <is>
          <t>Sem interrupção comprovada</t>
        </is>
      </c>
      <c r="D60" s="2" t="inlineStr">
        <is>
          <t>Sem interrupção</t>
        </is>
      </c>
      <c r="E60" s="2" t="inlineStr">
        <is>
          <t>EXPURGO</t>
        </is>
      </c>
      <c r="F60" s="2" t="inlineStr">
        <is>
          <t>QUEIMADO</t>
        </is>
      </c>
      <c r="G60" s="2" t="inlineStr">
        <is>
          <t>esteira 1.582</t>
        </is>
      </c>
      <c r="H60" s="2" t="inlineStr">
        <is>
          <t>AUSENTE DA CRÍTICA</t>
        </is>
      </c>
      <c r="I60" s="2" t="n">
        <v>5710023113</v>
      </c>
      <c r="J60" s="2" t="inlineStr">
        <is>
          <t>ETO-RD-GR  000353/2026</t>
        </is>
      </c>
      <c r="K60" s="2" t="n">
        <v>712600176</v>
      </c>
      <c r="L60" s="2" t="inlineStr">
        <is>
          <t>2026-02-21 13:09</t>
        </is>
      </c>
      <c r="M60" s="2" t="inlineStr">
        <is>
          <t>2026-02-24 10:44</t>
        </is>
      </c>
      <c r="N60" s="2" t="inlineStr">
        <is>
          <t>FORMS SUBST DE TRANSFORMADOR</t>
        </is>
      </c>
      <c r="O60" s="2" t="inlineStr">
        <is>
          <t>ETO-RD-GR</t>
        </is>
      </c>
      <c r="P60" s="2" t="inlineStr">
        <is>
          <t>COUTO MAGALHAES</t>
        </is>
      </c>
      <c r="Q60" s="2" t="inlineStr">
        <is>
          <t>QUEIMADO</t>
        </is>
      </c>
      <c r="R60" s="2" t="inlineStr">
        <is>
          <t>DESCARGA ATMOSFÉRICA</t>
        </is>
      </c>
      <c r="S60" s="2" t="n"/>
      <c r="T60" s="2" t="n"/>
      <c r="U60" s="2" t="inlineStr">
        <is>
          <t>não</t>
        </is>
      </c>
      <c r="V60" s="2" t="n"/>
      <c r="W60" s="2" t="n"/>
      <c r="X60" s="2" t="n"/>
      <c r="Y60" s="2" t="n"/>
      <c r="Z60" s="4" t="inlineStr">
        <is>
          <t>SIM</t>
        </is>
      </c>
      <c r="AA60" s="4" t="inlineStr">
        <is>
          <t>leitura caso a caso</t>
        </is>
      </c>
      <c r="AB60" s="4" t="inlineStr">
        <is>
          <t>Fora do indicador: o ativo não existe na base de interrupção. Sem registro de interrupção não há evento a medir.</t>
        </is>
      </c>
      <c r="AC60" s="2" t="inlineStr">
        <is>
          <t>trafo queimado 5710023113 - 15KVA - 34,5KV acesso caminhonete para raio queimado necessario refazer aterramento IND ASSENTAMEN P.A. UNIAO, 0 - CHA JANDAIAuc 562509263991206181 -RDR COUTO MAGALHAES</t>
        </is>
      </c>
      <c r="AD60" s="2" t="inlineStr">
        <is>
          <t>trafo queimado 5710023113 - 15KVA - 34,5KV acesso caminhonete para raio queimado  
necessario refazer aterramento  
IND ASSENTAMEN P.A. UNIAO, 0 - CHA JANDAIA 
uc 5625092 
63991206181 
 -RDR COUTO MAGALHAES</t>
        </is>
      </c>
    </row>
    <row r="61" ht="45" customHeight="1">
      <c r="A61" s="2" t="inlineStr">
        <is>
          <t>ETO-RD-GR 00292/2026</t>
        </is>
      </c>
      <c r="B61" s="2" t="inlineStr">
        <is>
          <t>fev</t>
        </is>
      </c>
      <c r="C61" s="3" t="inlineStr">
        <is>
          <t>Sem interrupção comprovada</t>
        </is>
      </c>
      <c r="D61" s="2" t="inlineStr">
        <is>
          <t>Sem interrupção</t>
        </is>
      </c>
      <c r="E61" s="2" t="inlineStr">
        <is>
          <t>EXPURGO</t>
        </is>
      </c>
      <c r="F61" s="2" t="inlineStr">
        <is>
          <t>QUEIMADO</t>
        </is>
      </c>
      <c r="G61" s="2" t="inlineStr">
        <is>
          <t>esteira 1.582</t>
        </is>
      </c>
      <c r="H61" s="2" t="inlineStr">
        <is>
          <t>AUSENTE DA CRÍTICA</t>
        </is>
      </c>
      <c r="I61" s="2" t="n">
        <v>5710447023</v>
      </c>
      <c r="J61" s="2" t="inlineStr">
        <is>
          <t>ENC-MLGR03  000084/2026</t>
        </is>
      </c>
      <c r="K61" s="2" t="n">
        <v>712600196</v>
      </c>
      <c r="L61" s="2" t="inlineStr">
        <is>
          <t>2026-02-26 19:07</t>
        </is>
      </c>
      <c r="M61" s="2" t="inlineStr">
        <is>
          <t>2026-02-28 03:11</t>
        </is>
      </c>
      <c r="N61" s="2" t="inlineStr">
        <is>
          <t>FORMS SUBST DE TRANSFORMADOR</t>
        </is>
      </c>
      <c r="O61" s="2" t="inlineStr">
        <is>
          <t>ETO-RD-GR</t>
        </is>
      </c>
      <c r="P61" s="2" t="inlineStr">
        <is>
          <t>COLINAS DO TOCANTINS</t>
        </is>
      </c>
      <c r="Q61" s="2" t="inlineStr">
        <is>
          <t>QUEIMADO</t>
        </is>
      </c>
      <c r="R61" s="2" t="inlineStr">
        <is>
          <t>DESCARGA ATMOSFÉRICA</t>
        </is>
      </c>
      <c r="S61" s="2" t="inlineStr">
        <is>
          <t>69687</t>
        </is>
      </c>
      <c r="T61" s="2" t="n">
        <v>1024143</v>
      </c>
      <c r="U61" s="2" t="inlineStr">
        <is>
          <t>sim</t>
        </is>
      </c>
      <c r="V61" s="2" t="n"/>
      <c r="W61" s="2" t="n"/>
      <c r="X61" s="2" t="n"/>
      <c r="Y61" s="2" t="n"/>
      <c r="Z61" s="4" t="inlineStr">
        <is>
          <t>SIM</t>
        </is>
      </c>
      <c r="AA61" s="4" t="inlineStr">
        <is>
          <t>leitura caso a caso</t>
        </is>
      </c>
      <c r="AB61" s="4" t="inlineStr">
        <is>
          <t>Fora do indicador: o ativo não existe na base de interrupção. Sem registro de interrupção não há evento a medir.</t>
        </is>
      </c>
      <c r="AC61" s="2" t="inlineStr">
        <is>
          <t>Boa noite,Favor enviar manutenção para substituir trafo queimado 5710447023</t>
        </is>
      </c>
      <c r="AD61" s="2" t="inlineStr">
        <is>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is>
      </c>
    </row>
    <row r="62" ht="90" customHeight="1">
      <c r="A62" s="2" t="inlineStr">
        <is>
          <t>ETO-RD-GR 00295/2026</t>
        </is>
      </c>
      <c r="B62" s="2" t="inlineStr">
        <is>
          <t>fev</t>
        </is>
      </c>
      <c r="C62" s="3" t="inlineStr">
        <is>
          <t>Sem interrupção comprovada</t>
        </is>
      </c>
      <c r="D62" s="2" t="inlineStr">
        <is>
          <t>Sem interrupção</t>
        </is>
      </c>
      <c r="E62" s="2" t="inlineStr">
        <is>
          <t>EXPURGO</t>
        </is>
      </c>
      <c r="F62" s="2" t="inlineStr">
        <is>
          <t>QUEIMADO</t>
        </is>
      </c>
      <c r="G62" s="2" t="inlineStr">
        <is>
          <t>esteira 1.582</t>
        </is>
      </c>
      <c r="H62" s="2" t="inlineStr">
        <is>
          <t>AUSENTE DA CRÍTICA</t>
        </is>
      </c>
      <c r="I62" s="2" t="n">
        <v>5710173023</v>
      </c>
      <c r="J62" s="2" t="inlineStr">
        <is>
          <t>ENC-MLGR03  000082/2026</t>
        </is>
      </c>
      <c r="K62" s="2" t="n">
        <v>712600194</v>
      </c>
      <c r="L62" s="2" t="inlineStr">
        <is>
          <t>2026-02-27 15:07</t>
        </is>
      </c>
      <c r="M62" s="2" t="inlineStr">
        <is>
          <t>2026-02-28 16:52</t>
        </is>
      </c>
      <c r="N62" s="2" t="inlineStr">
        <is>
          <t>FORMS SUBST DE TRANSFORMADOR</t>
        </is>
      </c>
      <c r="O62" s="2" t="inlineStr">
        <is>
          <t>ETO-RD-GR</t>
        </is>
      </c>
      <c r="P62" s="2" t="inlineStr">
        <is>
          <t>COLINAS DO TOCANTINS</t>
        </is>
      </c>
      <c r="Q62" s="2" t="inlineStr">
        <is>
          <t>QUEIMADO</t>
        </is>
      </c>
      <c r="R62" s="2" t="inlineStr">
        <is>
          <t>BUCHA DANIFICADA</t>
        </is>
      </c>
      <c r="S62" s="2" t="inlineStr">
        <is>
          <t>182622</t>
        </is>
      </c>
      <c r="T62" s="2" t="n">
        <v>133927</v>
      </c>
      <c r="U62" s="2" t="inlineStr">
        <is>
          <t>sim</t>
        </is>
      </c>
      <c r="V62" s="2" t="n"/>
      <c r="W62" s="2" t="n"/>
      <c r="X62" s="2" t="n"/>
      <c r="Y62" s="2" t="n"/>
      <c r="Z62" s="4" t="inlineStr">
        <is>
          <t>SIM</t>
        </is>
      </c>
      <c r="AA62" s="4" t="inlineStr">
        <is>
          <t>leitura caso a caso</t>
        </is>
      </c>
      <c r="AB62"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2" s="2" t="inlineStr">
        <is>
          <t>Boa tarde,Favor enviar manutenção para subsitutir trafo com bucha secundaria com defeito 5710173023Obs: Necessario substituir cruzeta deterioradaEstrutura: N3</t>
        </is>
      </c>
      <c r="AD62" s="2" t="inlineStr">
        <is>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is>
      </c>
    </row>
    <row r="63" ht="90" customHeight="1">
      <c r="A63" s="2" t="inlineStr">
        <is>
          <t>ETO-RD-GU 00218/2026</t>
        </is>
      </c>
      <c r="B63" s="2" t="inlineStr">
        <is>
          <t>fev</t>
        </is>
      </c>
      <c r="C63" s="3" t="inlineStr">
        <is>
          <t>Sem interrupção comprovada</t>
        </is>
      </c>
      <c r="D63" s="2" t="inlineStr">
        <is>
          <t>Sem interrupção</t>
        </is>
      </c>
      <c r="E63" s="2" t="inlineStr">
        <is>
          <t>EXPURGO</t>
        </is>
      </c>
      <c r="F63" s="2" t="inlineStr">
        <is>
          <t>QUEIMADO</t>
        </is>
      </c>
      <c r="G63" s="2" t="inlineStr">
        <is>
          <t>esteira 1.582</t>
        </is>
      </c>
      <c r="H63" s="2" t="inlineStr">
        <is>
          <t>AUSENTE DA CRÍTICA</t>
        </is>
      </c>
      <c r="I63" s="2" t="n">
        <v>5710863003</v>
      </c>
      <c r="J63" s="2" t="inlineStr">
        <is>
          <t>DBM-MLDB04  000059/2026</t>
        </is>
      </c>
      <c r="K63" s="2" t="n">
        <v>412600221</v>
      </c>
      <c r="L63" s="2" t="inlineStr">
        <is>
          <t>2026-02-16 19:10</t>
        </is>
      </c>
      <c r="M63" s="2" t="inlineStr">
        <is>
          <t>2026-02-23 08:10</t>
        </is>
      </c>
      <c r="N63" s="2" t="inlineStr">
        <is>
          <t>FORMS SUBST DE TRANSFORMADOR</t>
        </is>
      </c>
      <c r="O63" s="2" t="inlineStr">
        <is>
          <t>ETO-RD-GU</t>
        </is>
      </c>
      <c r="P63" s="2" t="inlineStr">
        <is>
          <t>GURUPI</t>
        </is>
      </c>
      <c r="Q63" s="2" t="inlineStr">
        <is>
          <t>QUEIMADO</t>
        </is>
      </c>
      <c r="R63" s="2" t="inlineStr">
        <is>
          <t>DESCARGA ATMOSFÉRICA</t>
        </is>
      </c>
      <c r="S63" s="2" t="inlineStr">
        <is>
          <t>670034</t>
        </is>
      </c>
      <c r="T63" s="2" t="n"/>
      <c r="U63" s="2" t="inlineStr">
        <is>
          <t>não</t>
        </is>
      </c>
      <c r="V63" s="2" t="inlineStr">
        <is>
          <t>MEIO AMBIENTE</t>
        </is>
      </c>
      <c r="W63" s="2" t="inlineStr">
        <is>
          <t>DESCARGA ATMOSFERICA</t>
        </is>
      </c>
      <c r="X63" s="2" t="n"/>
      <c r="Y63" s="2" t="n"/>
      <c r="Z63" s="4" t="inlineStr">
        <is>
          <t>SIM</t>
        </is>
      </c>
      <c r="AA63" s="4" t="inlineStr">
        <is>
          <t>leitura caso a caso</t>
        </is>
      </c>
      <c r="AB63"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3" s="2" t="inlineStr">
        <is>
          <t>TRAFO 5710863003 QUEIMADO EM CAMPO DE 15 KVA ACESSO PARA CAMIONETE PARA RAIO QUEIMADO</t>
        </is>
      </c>
      <c r="AD63" s="2" t="inlineStr">
        <is>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is>
      </c>
    </row>
    <row r="64" ht="45" customHeight="1">
      <c r="A64" s="2" t="inlineStr">
        <is>
          <t>DG-RD-PO 00233/2026</t>
        </is>
      </c>
      <c r="B64" s="2" t="inlineStr">
        <is>
          <t>mar</t>
        </is>
      </c>
      <c r="C64" s="3" t="inlineStr">
        <is>
          <t>Sem interrupção comprovada</t>
        </is>
      </c>
      <c r="D64" s="2" t="inlineStr">
        <is>
          <t>Sem interrupção</t>
        </is>
      </c>
      <c r="E64" s="2" t="inlineStr">
        <is>
          <t>EXPURGO</t>
        </is>
      </c>
      <c r="F64" s="2" t="inlineStr">
        <is>
          <t>QUEIMADO</t>
        </is>
      </c>
      <c r="G64" s="2" t="inlineStr">
        <is>
          <t>esteira 1.582</t>
        </is>
      </c>
      <c r="H64" s="2" t="inlineStr">
        <is>
          <t>AUSENTE DA CRÍTICA</t>
        </is>
      </c>
      <c r="I64" s="2" t="n">
        <v>5702646001</v>
      </c>
      <c r="J64" s="2" t="inlineStr">
        <is>
          <t>DG-MPDG01  000054/2026</t>
        </is>
      </c>
      <c r="K64" s="2" t="n">
        <v>312600177</v>
      </c>
      <c r="L64" s="2" t="inlineStr">
        <is>
          <t>2026-03-03 08:09</t>
        </is>
      </c>
      <c r="M64" s="2" t="inlineStr">
        <is>
          <t>2026-03-03 08:45</t>
        </is>
      </c>
      <c r="N64" s="2" t="inlineStr">
        <is>
          <t>AVISO DE ANOMALIA</t>
        </is>
      </c>
      <c r="O64" s="2" t="inlineStr">
        <is>
          <t>DG-RD-PO</t>
        </is>
      </c>
      <c r="P64" s="2" t="inlineStr">
        <is>
          <t>PORTO NACIONAL</t>
        </is>
      </c>
      <c r="Q64" s="2" t="inlineStr">
        <is>
          <t>QUEIMADO</t>
        </is>
      </c>
      <c r="R64" s="2" t="n"/>
      <c r="S64" s="2" t="inlineStr">
        <is>
          <t>2695</t>
        </is>
      </c>
      <c r="T64" s="2" t="n">
        <v>1597377</v>
      </c>
      <c r="U64" s="2" t="inlineStr">
        <is>
          <t>sim</t>
        </is>
      </c>
      <c r="V64" s="2" t="n"/>
      <c r="W64" s="2" t="n"/>
      <c r="X64" s="2" t="n"/>
      <c r="Y64" s="2" t="n"/>
      <c r="Z64" s="4" t="inlineStr">
        <is>
          <t>não</t>
        </is>
      </c>
      <c r="AA64" s="4" t="inlineStr">
        <is>
          <t>leitura caso a caso</t>
        </is>
      </c>
      <c r="AB64" s="4" t="inlineStr">
        <is>
          <t>Fora do indicador: o ativo não existe na base de interrupção. Sem registro de interrupção não há evento a medir.</t>
        </is>
      </c>
      <c r="AC64" s="2" t="inlineStr">
        <is>
          <t>segue nota trafo queimado de 45kVA paraio bom</t>
        </is>
      </c>
      <c r="AD64" s="2" t="inlineStr">
        <is>
          <t xml:space="preserve">medido_ 
emergencial_ 
substituição de trafo queimado rdu porto 
obs: cobrando sobre aviso pedrini 21 a 23/02 
</t>
        </is>
      </c>
    </row>
    <row r="65" ht="45" customHeight="1">
      <c r="A65" s="2" t="inlineStr">
        <is>
          <t>DG-RD-PO 00243/2026</t>
        </is>
      </c>
      <c r="B65" s="2" t="inlineStr">
        <is>
          <t>mar</t>
        </is>
      </c>
      <c r="C65" s="3" t="inlineStr">
        <is>
          <t>Sem interrupção comprovada</t>
        </is>
      </c>
      <c r="D65" s="2" t="inlineStr">
        <is>
          <t>Sem interrupção</t>
        </is>
      </c>
      <c r="E65" s="2" t="inlineStr">
        <is>
          <t>EXPURGO</t>
        </is>
      </c>
      <c r="F65" s="2" t="inlineStr">
        <is>
          <t>QUEIMADO</t>
        </is>
      </c>
      <c r="G65" s="2" t="inlineStr">
        <is>
          <t>esteira 1.582</t>
        </is>
      </c>
      <c r="H65" s="2" t="inlineStr">
        <is>
          <t>AUSENTE DA CRÍTICA</t>
        </is>
      </c>
      <c r="I65" s="2" t="n">
        <v>5710079256</v>
      </c>
      <c r="J65" s="2" t="inlineStr">
        <is>
          <t>DG-MLPO02  000052/2026</t>
        </is>
      </c>
      <c r="K65" s="2" t="n">
        <v>312600197</v>
      </c>
      <c r="L65" s="2" t="inlineStr">
        <is>
          <t>2026-03-05 19:31</t>
        </is>
      </c>
      <c r="M65" s="2" t="inlineStr">
        <is>
          <t>2026-03-08 11:24</t>
        </is>
      </c>
      <c r="N65" s="2" t="inlineStr">
        <is>
          <t>FORMS SUBST DE TRANSFORMADOR</t>
        </is>
      </c>
      <c r="O65" s="2" t="inlineStr">
        <is>
          <t>DG-RD-PO</t>
        </is>
      </c>
      <c r="P65" s="2" t="inlineStr">
        <is>
          <t>MATEIROS</t>
        </is>
      </c>
      <c r="Q65" s="2" t="inlineStr">
        <is>
          <t>QUEIMADO</t>
        </is>
      </c>
      <c r="R65" s="2" t="inlineStr">
        <is>
          <t>DESCARGA ATMOSFÉRICA</t>
        </is>
      </c>
      <c r="S65" s="2" t="inlineStr">
        <is>
          <t>332336</t>
        </is>
      </c>
      <c r="T65" s="2" t="n">
        <v>463560</v>
      </c>
      <c r="U65" s="2" t="inlineStr">
        <is>
          <t>sim</t>
        </is>
      </c>
      <c r="V65" s="2" t="n"/>
      <c r="W65" s="2" t="n"/>
      <c r="X65" s="2" t="n"/>
      <c r="Y65" s="2" t="n"/>
      <c r="Z65" s="4" t="inlineStr">
        <is>
          <t>SIM</t>
        </is>
      </c>
      <c r="AA65" s="4" t="inlineStr">
        <is>
          <t>leitura caso a caso</t>
        </is>
      </c>
      <c r="AB65" s="4" t="inlineStr">
        <is>
          <t>Fora do indicador: o ativo não existe na base de interrupção. Sem registro de interrupção não há evento a medir.</t>
        </is>
      </c>
      <c r="AC65" s="2" t="inlineStr">
        <is>
          <t>TR 5710079256 queimado</t>
        </is>
      </c>
      <c r="AD65" s="2" t="inlineStr">
        <is>
          <t xml:space="preserve">medido_ 
emergencial_ 
substituição de trafo queimado rdr mateiros 
</t>
        </is>
      </c>
    </row>
    <row r="66" ht="90" customHeight="1">
      <c r="A66" s="2" t="inlineStr">
        <is>
          <t>DOLP-RD-PA 00382/2026</t>
        </is>
      </c>
      <c r="B66" s="2" t="inlineStr">
        <is>
          <t>mar</t>
        </is>
      </c>
      <c r="C66" s="3" t="inlineStr">
        <is>
          <t>Sem interrupção comprovada</t>
        </is>
      </c>
      <c r="D66" s="2" t="inlineStr">
        <is>
          <t>Sem interrupção</t>
        </is>
      </c>
      <c r="E66" s="2" t="inlineStr">
        <is>
          <t>EXPURGO</t>
        </is>
      </c>
      <c r="F66" s="2" t="inlineStr">
        <is>
          <t>QUEIMADO</t>
        </is>
      </c>
      <c r="G66" s="2" t="inlineStr">
        <is>
          <t>esteira 1.582</t>
        </is>
      </c>
      <c r="H66" s="2" t="inlineStr">
        <is>
          <t>AUSENTE DA CRÍTICA</t>
        </is>
      </c>
      <c r="I66" s="2" t="n">
        <v>5763161196</v>
      </c>
      <c r="J66" s="2" t="inlineStr">
        <is>
          <t>DLP-MLPA01  000099/2026</t>
        </is>
      </c>
      <c r="K66" s="2" t="n">
        <v>112600358</v>
      </c>
      <c r="L66" s="2" t="inlineStr">
        <is>
          <t>2026-03-24 14:14</t>
        </is>
      </c>
      <c r="M66" s="2" t="inlineStr">
        <is>
          <t>2026-03-23 18:20</t>
        </is>
      </c>
      <c r="N66" s="2" t="inlineStr">
        <is>
          <t>FORMS SUBST DE TRANSFORMADOR</t>
        </is>
      </c>
      <c r="O66" s="2" t="inlineStr">
        <is>
          <t>DOLP-RD-PA</t>
        </is>
      </c>
      <c r="P66" s="2" t="inlineStr">
        <is>
          <t>LAGOA DO TOCANTINS</t>
        </is>
      </c>
      <c r="Q66" s="2" t="inlineStr">
        <is>
          <t>QUEIMADO</t>
        </is>
      </c>
      <c r="R66" s="2" t="inlineStr">
        <is>
          <t>DESCARGA ATMOSFÉRICA</t>
        </is>
      </c>
      <c r="S66" s="2" t="inlineStr">
        <is>
          <t>474885</t>
        </is>
      </c>
      <c r="T66" s="2" t="n">
        <v>1403743</v>
      </c>
      <c r="U66" s="2" t="inlineStr">
        <is>
          <t>sim</t>
        </is>
      </c>
      <c r="V66" s="2" t="inlineStr">
        <is>
          <t>CAUSA NAO IDENTIFICADA</t>
        </is>
      </c>
      <c r="W66" s="2" t="inlineStr">
        <is>
          <t>CAUSA NAO IDENTIFICADA - ESPECIFICAR</t>
        </is>
      </c>
      <c r="X66" s="2" t="n"/>
      <c r="Y66" s="2" t="n"/>
      <c r="Z66" s="4" t="inlineStr">
        <is>
          <t>SIM</t>
        </is>
      </c>
      <c r="AA66" s="4" t="inlineStr">
        <is>
          <t>leitura caso a caso</t>
        </is>
      </c>
      <c r="AB6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6" s="2" t="inlineStr">
        <is>
          <t>SEGUE SS DE TRAFO 5763161196 QUEIMADO NA RDR DE LAGOA DO TOCANTINS. PARA AS DEVIDAS TRATATIVAS COM EQUIPE DE MANUTENÇÃOOBS: LEVAR JOGO DE CHAVE FUSIVEL PARA INSTALAR NA MESMA ESTRUTURA DE TRAFO</t>
        </is>
      </c>
      <c r="AD66" s="2"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t>
        </is>
      </c>
    </row>
    <row r="67" ht="45" customHeight="1">
      <c r="A67" s="2" t="inlineStr">
        <is>
          <t>ENC-RD-PS 00358/2026</t>
        </is>
      </c>
      <c r="B67" s="2" t="inlineStr">
        <is>
          <t>mar</t>
        </is>
      </c>
      <c r="C67" s="3" t="inlineStr">
        <is>
          <t>Sem interrupção comprovada</t>
        </is>
      </c>
      <c r="D67" s="2" t="inlineStr">
        <is>
          <t>Sem interrupção</t>
        </is>
      </c>
      <c r="E67" s="2" t="inlineStr">
        <is>
          <t>EXPURGO</t>
        </is>
      </c>
      <c r="F67" s="2" t="inlineStr">
        <is>
          <t>QUEIMADO</t>
        </is>
      </c>
      <c r="G67" s="2" t="inlineStr">
        <is>
          <t>esteira 1.582</t>
        </is>
      </c>
      <c r="H67" s="2" t="inlineStr">
        <is>
          <t>AUSENTE DA CRÍTICA</t>
        </is>
      </c>
      <c r="I67" s="2" t="n">
        <v>5700460055</v>
      </c>
      <c r="J67" s="2" t="inlineStr">
        <is>
          <t>ENC-LMPS04  000054/2026</t>
        </is>
      </c>
      <c r="K67" s="2" t="n">
        <v>212600327</v>
      </c>
      <c r="L67" s="2" t="inlineStr">
        <is>
          <t>2026-03-17 18:55</t>
        </is>
      </c>
      <c r="M67" s="2" t="inlineStr">
        <is>
          <t>2026-03-18 18:02</t>
        </is>
      </c>
      <c r="N67" s="2" t="inlineStr">
        <is>
          <t>FORMS SUBST DE TRANSFORMADOR</t>
        </is>
      </c>
      <c r="O67" s="2" t="inlineStr">
        <is>
          <t>ENC-RD-PS</t>
        </is>
      </c>
      <c r="P67" s="2" t="inlineStr">
        <is>
          <t>ARAGUACEMA</t>
        </is>
      </c>
      <c r="Q67" s="2" t="inlineStr">
        <is>
          <t>QUEIMADO</t>
        </is>
      </c>
      <c r="R67" s="2" t="inlineStr">
        <is>
          <t>DESCARGA ATMOSFÉRICA</t>
        </is>
      </c>
      <c r="S67" s="2" t="inlineStr">
        <is>
          <t>C299635</t>
        </is>
      </c>
      <c r="T67" s="2" t="n">
        <v>828125</v>
      </c>
      <c r="U67" s="2" t="inlineStr">
        <is>
          <t>sim</t>
        </is>
      </c>
      <c r="V67" s="2" t="n"/>
      <c r="W67" s="2" t="n"/>
      <c r="X67" s="2" t="n"/>
      <c r="Y67" s="2" t="n"/>
      <c r="Z67" s="4" t="inlineStr">
        <is>
          <t>SIM</t>
        </is>
      </c>
      <c r="AA67" s="4" t="inlineStr">
        <is>
          <t>leitura caso a caso</t>
        </is>
      </c>
      <c r="AB67" s="4" t="inlineStr">
        <is>
          <t>Fora do indicador: o ativo não existe na base de interrupção. Sem registro de interrupção não há evento a medir.</t>
        </is>
      </c>
      <c r="AC67" s="2" t="inlineStr">
        <is>
          <t>TR 5763273055 15KVAPARA RAIO DANIFICADO ACESSO LIVRE PARA CAMINHONETE 055OP01 ESTEVE NO LOCAL TRAFO NAO AXISTE NO SISTEMA (ERRO CADASTRO) FICA PROX AO TR 5700460055MAIS INFORMAÇOES ENTRA EM CONTATO COM EQUIPE 055OP01</t>
        </is>
      </c>
      <c r="AD67" s="2" t="inlineStr">
        <is>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is>
      </c>
    </row>
    <row r="68" ht="45" customHeight="1">
      <c r="A68" s="2" t="inlineStr">
        <is>
          <t>ENC-RD-PS 00361/2026</t>
        </is>
      </c>
      <c r="B68" s="2" t="inlineStr">
        <is>
          <t>mar</t>
        </is>
      </c>
      <c r="C68" s="3" t="inlineStr">
        <is>
          <t>Sem interrupção comprovada</t>
        </is>
      </c>
      <c r="D68" s="2" t="inlineStr">
        <is>
          <t>Sem interrupção</t>
        </is>
      </c>
      <c r="E68" s="2" t="inlineStr">
        <is>
          <t>EXPURGO</t>
        </is>
      </c>
      <c r="F68" s="2" t="inlineStr">
        <is>
          <t>QUEIMADO</t>
        </is>
      </c>
      <c r="G68" s="2" t="inlineStr">
        <is>
          <t>esteira 1.582</t>
        </is>
      </c>
      <c r="H68" s="2" t="inlineStr">
        <is>
          <t>AUSENTE DA CRÍTICA</t>
        </is>
      </c>
      <c r="I68" s="2" t="n">
        <v>5701007008</v>
      </c>
      <c r="J68" s="2" t="inlineStr">
        <is>
          <t>ENC-LMPS03  000066/2026</t>
        </is>
      </c>
      <c r="K68" s="2" t="n">
        <v>212600341</v>
      </c>
      <c r="L68" s="2" t="inlineStr">
        <is>
          <t>2026-03-19 10:47</t>
        </is>
      </c>
      <c r="M68" s="2" t="inlineStr">
        <is>
          <t>2026-03-19 17:44</t>
        </is>
      </c>
      <c r="N68" s="2" t="inlineStr">
        <is>
          <t>FORMS SUBST DE TRANSFORMADOR</t>
        </is>
      </c>
      <c r="O68" s="2" t="inlineStr">
        <is>
          <t>ENC-RD-PS</t>
        </is>
      </c>
      <c r="P68" s="2" t="inlineStr">
        <is>
          <t>MIRANORTE</t>
        </is>
      </c>
      <c r="Q68" s="2" t="inlineStr">
        <is>
          <t>QUEIMADO</t>
        </is>
      </c>
      <c r="R68" s="2" t="inlineStr">
        <is>
          <t>DESCARGA ATMOSFÉRICA</t>
        </is>
      </c>
      <c r="S68" s="2" t="inlineStr">
        <is>
          <t>388932</t>
        </is>
      </c>
      <c r="T68" s="2" t="n">
        <v>827738</v>
      </c>
      <c r="U68" s="2" t="inlineStr">
        <is>
          <t>sim</t>
        </is>
      </c>
      <c r="V68" s="2" t="n"/>
      <c r="W68" s="2" t="n"/>
      <c r="X68" s="2" t="n"/>
      <c r="Y68" s="2" t="n"/>
      <c r="Z68" s="4" t="inlineStr">
        <is>
          <t>SIM</t>
        </is>
      </c>
      <c r="AA68" s="4" t="inlineStr">
        <is>
          <t>leitura caso a caso</t>
        </is>
      </c>
      <c r="AB68" s="4" t="inlineStr">
        <is>
          <t>Fora do indicador: o ativo não existe na base de interrupção. Sem registro de interrupção não há evento a medir.</t>
        </is>
      </c>
      <c r="AC68" s="2"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D68" s="2" t="inlineStr">
        <is>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is>
      </c>
    </row>
    <row r="69" ht="90" customHeight="1">
      <c r="A69" s="2" t="inlineStr">
        <is>
          <t>ETO-RD-AG 00249/2026</t>
        </is>
      </c>
      <c r="B69" s="2" t="inlineStr">
        <is>
          <t>mar</t>
        </is>
      </c>
      <c r="C69" s="3" t="inlineStr">
        <is>
          <t>Sem interrupção comprovada</t>
        </is>
      </c>
      <c r="D69" s="2" t="inlineStr">
        <is>
          <t>Sem interrupção</t>
        </is>
      </c>
      <c r="E69" s="2" t="inlineStr">
        <is>
          <t>EXPURGO</t>
        </is>
      </c>
      <c r="F69" s="2" t="inlineStr">
        <is>
          <t>QUEIMADO</t>
        </is>
      </c>
      <c r="G69" s="2" t="inlineStr">
        <is>
          <t>esteira 1.582</t>
        </is>
      </c>
      <c r="H69" s="2" t="inlineStr">
        <is>
          <t>AUSENTE DA CRÍTICA</t>
        </is>
      </c>
      <c r="I69" s="2" t="n">
        <v>5700696045</v>
      </c>
      <c r="J69" s="2" t="inlineStr">
        <is>
          <t>ENC-MLAG01  000060/2026</t>
        </is>
      </c>
      <c r="K69" s="2" t="n">
        <v>662600154</v>
      </c>
      <c r="L69" s="2" t="inlineStr">
        <is>
          <t>2026-03-03 12:18</t>
        </is>
      </c>
      <c r="M69" s="2" t="inlineStr">
        <is>
          <t>2026-03-04 18:23</t>
        </is>
      </c>
      <c r="N69" s="2" t="inlineStr">
        <is>
          <t>FORMS SUBST DE TRANSFORMADOR</t>
        </is>
      </c>
      <c r="O69" s="2" t="inlineStr">
        <is>
          <t>ETO-RD-AG</t>
        </is>
      </c>
      <c r="P69" s="2" t="inlineStr">
        <is>
          <t>AUGUSTINOPOLIS</t>
        </is>
      </c>
      <c r="Q69" s="2" t="inlineStr">
        <is>
          <t>QUEIMADO</t>
        </is>
      </c>
      <c r="R69" s="2" t="inlineStr">
        <is>
          <t>DESCARGA ATMOSFÉRICA</t>
        </is>
      </c>
      <c r="S69" s="2" t="inlineStr">
        <is>
          <t>566197014</t>
        </is>
      </c>
      <c r="T69" s="2" t="n">
        <v>183077</v>
      </c>
      <c r="U69" s="2" t="inlineStr">
        <is>
          <t>sim</t>
        </is>
      </c>
      <c r="V69" s="2" t="inlineStr">
        <is>
          <t>MEIO AMBIENTE</t>
        </is>
      </c>
      <c r="W69" s="2" t="inlineStr">
        <is>
          <t>DESCARGA ATMOSFERICA</t>
        </is>
      </c>
      <c r="X69" s="2" t="n"/>
      <c r="Y69" s="2" t="n"/>
      <c r="Z69" s="4" t="inlineStr">
        <is>
          <t>SIM</t>
        </is>
      </c>
      <c r="AA69" s="4" t="inlineStr">
        <is>
          <t>leitura caso a caso</t>
        </is>
      </c>
      <c r="AB69"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9" s="2" t="inlineStr">
        <is>
          <t>TROCA DE TRAFO 5700696045 QUEIMADO DE 30KVA DA 34.5 PARA RAIOS QUEIMADO. ACESSO BOMTROCAR JOGO DE CHAVESUBSTITUIR OS GLV'SLEVAR ROLDANA DA BT.</t>
        </is>
      </c>
      <c r="AD69" s="2"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t>
        </is>
      </c>
    </row>
    <row r="70" ht="45" customHeight="1">
      <c r="A70" s="2" t="inlineStr">
        <is>
          <t>ETO-RD-AR 00415/2026</t>
        </is>
      </c>
      <c r="B70" s="2" t="inlineStr">
        <is>
          <t>mar</t>
        </is>
      </c>
      <c r="C70" s="3" t="inlineStr">
        <is>
          <t>Sem interrupção comprovada</t>
        </is>
      </c>
      <c r="D70" s="2" t="inlineStr">
        <is>
          <t>Sem interrupção</t>
        </is>
      </c>
      <c r="E70" s="2" t="inlineStr">
        <is>
          <t>EXPURGO</t>
        </is>
      </c>
      <c r="F70" s="2" t="inlineStr">
        <is>
          <t>AVARIADO</t>
        </is>
      </c>
      <c r="G70" s="2" t="inlineStr">
        <is>
          <t>esteira 1.582</t>
        </is>
      </c>
      <c r="H70" s="2" t="inlineStr">
        <is>
          <t>AUSENTE DA CRÍTICA</t>
        </is>
      </c>
      <c r="I70" s="2" t="n">
        <v>5700402060</v>
      </c>
      <c r="J70" s="2" t="inlineStr">
        <is>
          <t>ENC-MLAR01  000124/2026</t>
        </is>
      </c>
      <c r="K70" s="2" t="n">
        <v>612600249</v>
      </c>
      <c r="L70" s="2" t="inlineStr">
        <is>
          <t>2026-03-03 20:22</t>
        </is>
      </c>
      <c r="M70" s="2" t="inlineStr">
        <is>
          <t>2026-03-04 15:25</t>
        </is>
      </c>
      <c r="N70" s="2" t="inlineStr">
        <is>
          <t>FORMS SUBST DE TRANSFORMADOR</t>
        </is>
      </c>
      <c r="O70" s="2" t="inlineStr">
        <is>
          <t>ETO-RD-AR</t>
        </is>
      </c>
      <c r="P70" s="2" t="inlineStr">
        <is>
          <t>NOVA OLINDA</t>
        </is>
      </c>
      <c r="Q70" s="2" t="inlineStr">
        <is>
          <t>AVARIADO</t>
        </is>
      </c>
      <c r="R70" s="2" t="inlineStr">
        <is>
          <t>VAZAMENTO DE ÓLEO</t>
        </is>
      </c>
      <c r="S70" s="2" t="inlineStr">
        <is>
          <t>177002</t>
        </is>
      </c>
      <c r="T70" s="2" t="n">
        <v>249961</v>
      </c>
      <c r="U70" s="2" t="inlineStr">
        <is>
          <t>sim</t>
        </is>
      </c>
      <c r="V70" s="2" t="n"/>
      <c r="W70" s="2" t="n"/>
      <c r="X70" s="2" t="n"/>
      <c r="Y70" s="2" t="n"/>
      <c r="Z70" s="4" t="inlineStr">
        <is>
          <t>não</t>
        </is>
      </c>
      <c r="AA70" s="4" t="inlineStr">
        <is>
          <t>leitura caso a caso</t>
        </is>
      </c>
      <c r="AB70" s="4" t="inlineStr">
        <is>
          <t>Fora do indicador: o ativo não existe na base de interrupção. Sem registro de interrupção não há evento a medir.</t>
        </is>
      </c>
      <c r="AC70" s="2" t="inlineStr">
        <is>
          <t>TR-5700402060 vazando oleo para raios bompotência 10kvatensão 13,8kvacesso livreequipe 060op0102 tel-63992173964</t>
        </is>
      </c>
      <c r="AD70" s="2" t="inlineStr">
        <is>
          <t xml:space="preserve">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 
</t>
        </is>
      </c>
    </row>
    <row r="71" ht="90" customHeight="1">
      <c r="A71" s="2" t="inlineStr">
        <is>
          <t>ETO-RD-AR 00434/2026</t>
        </is>
      </c>
      <c r="B71" s="2" t="inlineStr">
        <is>
          <t>mar</t>
        </is>
      </c>
      <c r="C71" s="3" t="inlineStr">
        <is>
          <t>Sem interrupção comprovada</t>
        </is>
      </c>
      <c r="D71" s="2" t="inlineStr">
        <is>
          <t>Sem interrupção</t>
        </is>
      </c>
      <c r="E71" s="2" t="inlineStr">
        <is>
          <t>EXPURGO</t>
        </is>
      </c>
      <c r="F71" s="2" t="inlineStr">
        <is>
          <t>QUEIMADO</t>
        </is>
      </c>
      <c r="G71" s="2" t="inlineStr">
        <is>
          <t>esteira 1.582</t>
        </is>
      </c>
      <c r="H71" s="2" t="inlineStr">
        <is>
          <t>AUSENTE DA CRÍTICA</t>
        </is>
      </c>
      <c r="I71" s="2" t="n">
        <v>5710028040</v>
      </c>
      <c r="J71" s="2" t="inlineStr">
        <is>
          <t>ENC-MLAR01  000130/2026</t>
        </is>
      </c>
      <c r="K71" s="2" t="n">
        <v>612600266</v>
      </c>
      <c r="L71" s="2" t="inlineStr">
        <is>
          <t>2026-03-06 22:17</t>
        </is>
      </c>
      <c r="M71" s="2" t="inlineStr">
        <is>
          <t>2026-03-07 16:30</t>
        </is>
      </c>
      <c r="N71" s="2" t="inlineStr">
        <is>
          <t>FORMS SUBST DE TRANSFORMADOR</t>
        </is>
      </c>
      <c r="O71" s="2" t="inlineStr">
        <is>
          <t>ETO-RD-AR</t>
        </is>
      </c>
      <c r="P71" s="2" t="inlineStr">
        <is>
          <t>ARAGOMINAS</t>
        </is>
      </c>
      <c r="Q71" s="2" t="inlineStr">
        <is>
          <t>QUEIMADO</t>
        </is>
      </c>
      <c r="R71" s="2" t="inlineStr">
        <is>
          <t>DESCARGA ATMOSFÉRICA</t>
        </is>
      </c>
      <c r="S71" s="2" t="inlineStr">
        <is>
          <t>388798</t>
        </is>
      </c>
      <c r="T71" s="2" t="n">
        <v>974078</v>
      </c>
      <c r="U71" s="2" t="inlineStr">
        <is>
          <t>sim</t>
        </is>
      </c>
      <c r="V71" s="2" t="inlineStr">
        <is>
          <t>MEIO AMBIENTE</t>
        </is>
      </c>
      <c r="W71" s="2" t="inlineStr">
        <is>
          <t>DESCARGA ATMOSFERICA</t>
        </is>
      </c>
      <c r="X71" s="2" t="n"/>
      <c r="Y71" s="2" t="n"/>
      <c r="Z71" s="4" t="inlineStr">
        <is>
          <t>SIM</t>
        </is>
      </c>
      <c r="AA71" s="4" t="inlineStr">
        <is>
          <t>leitura caso a caso</t>
        </is>
      </c>
      <c r="AB71"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1" s="2" t="inlineStr">
        <is>
          <t>Trafo 5710028040 Queimado Potencia:15 KVATensão: 13,8 KVPara raio: Queimado Acesso: CamionetaEquipe: 040op36 (63)992870450</t>
        </is>
      </c>
      <c r="AD71" s="2" t="inlineStr">
        <is>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is>
      </c>
    </row>
    <row r="72" ht="45" customHeight="1">
      <c r="A72" s="2" t="inlineStr">
        <is>
          <t>ETO-RD-AR 00437/2026</t>
        </is>
      </c>
      <c r="B72" s="2" t="inlineStr">
        <is>
          <t>mar</t>
        </is>
      </c>
      <c r="C72" s="3" t="inlineStr">
        <is>
          <t>Sem interrupção comprovada</t>
        </is>
      </c>
      <c r="D72" s="2" t="inlineStr">
        <is>
          <t>Sem interrupção</t>
        </is>
      </c>
      <c r="E72" s="2" t="inlineStr">
        <is>
          <t>EXPURGO</t>
        </is>
      </c>
      <c r="F72" s="2" t="inlineStr">
        <is>
          <t>QUEIMADO</t>
        </is>
      </c>
      <c r="G72" s="2" t="inlineStr">
        <is>
          <t>esteira 1.582</t>
        </is>
      </c>
      <c r="H72" s="2" t="inlineStr">
        <is>
          <t>AUSENTE DA CRÍTICA</t>
        </is>
      </c>
      <c r="I72" s="2" t="n">
        <v>5701771022</v>
      </c>
      <c r="J72" s="2" t="inlineStr">
        <is>
          <t>ENC-MLAR03  000007/2026</t>
        </is>
      </c>
      <c r="K72" s="2" t="n">
        <v>612600271</v>
      </c>
      <c r="L72" s="2" t="inlineStr">
        <is>
          <t>2026-03-07 13:00</t>
        </is>
      </c>
      <c r="M72" s="2" t="inlineStr">
        <is>
          <t>2026-03-08 13:40</t>
        </is>
      </c>
      <c r="N72" s="2" t="inlineStr">
        <is>
          <t>FORMS SUBST DE TRANSFORMADOR</t>
        </is>
      </c>
      <c r="O72" s="2" t="inlineStr">
        <is>
          <t>ETO-RD-AR</t>
        </is>
      </c>
      <c r="P72" s="2" t="inlineStr">
        <is>
          <t>BABACULANDIA</t>
        </is>
      </c>
      <c r="Q72" s="2" t="inlineStr">
        <is>
          <t>QUEIMADO</t>
        </is>
      </c>
      <c r="R72" s="2" t="inlineStr">
        <is>
          <t>DESCARGA ATMOSFÉRICA</t>
        </is>
      </c>
      <c r="S72" s="2" t="inlineStr">
        <is>
          <t>1611007</t>
        </is>
      </c>
      <c r="T72" s="2" t="n">
        <v>827838</v>
      </c>
      <c r="U72" s="2" t="inlineStr">
        <is>
          <t>sim</t>
        </is>
      </c>
      <c r="V72" s="2" t="n"/>
      <c r="W72" s="2" t="n"/>
      <c r="X72" s="2" t="n"/>
      <c r="Y72" s="2" t="n"/>
      <c r="Z72" s="4" t="inlineStr">
        <is>
          <t>SIM</t>
        </is>
      </c>
      <c r="AA72" s="4" t="inlineStr">
        <is>
          <t>leitura caso a caso</t>
        </is>
      </c>
      <c r="AB72" s="4" t="inlineStr">
        <is>
          <t>Fora do indicador: o ativo não existe na base de interrupção. Sem registro de interrupção não há evento a medir.</t>
        </is>
      </c>
      <c r="AC72" s="2" t="inlineStr">
        <is>
          <t>Trafo 5701771022 queimado 15kvaTensão: 34.5Acesso; somente para caminhonteEquipe: 004op27Endereço: Chacara Bela Vista</t>
        </is>
      </c>
      <c r="AD72" s="2" t="inlineStr">
        <is>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is>
      </c>
    </row>
    <row r="73" ht="45" customHeight="1">
      <c r="A73" s="2" t="inlineStr">
        <is>
          <t>ETO-RD-AR 00440/2026</t>
        </is>
      </c>
      <c r="B73" s="2" t="inlineStr">
        <is>
          <t>mar</t>
        </is>
      </c>
      <c r="C73" s="3" t="inlineStr">
        <is>
          <t>Sem interrupção comprovada</t>
        </is>
      </c>
      <c r="D73" s="2" t="inlineStr">
        <is>
          <t>Sem interrupção</t>
        </is>
      </c>
      <c r="E73" s="2" t="inlineStr">
        <is>
          <t>EXPURGO</t>
        </is>
      </c>
      <c r="F73" s="2" t="inlineStr">
        <is>
          <t>AVARIADO</t>
        </is>
      </c>
      <c r="G73" s="2" t="inlineStr">
        <is>
          <t>esteira 1.582</t>
        </is>
      </c>
      <c r="H73" s="2" t="inlineStr">
        <is>
          <t>AUSENTE DA CRÍTICA</t>
        </is>
      </c>
      <c r="I73" s="2" t="n">
        <v>5701182022</v>
      </c>
      <c r="J73" s="2" t="inlineStr">
        <is>
          <t>ENC-MLAR01  000057/2026</t>
        </is>
      </c>
      <c r="K73" s="2" t="n">
        <v>612600272</v>
      </c>
      <c r="L73" s="2" t="inlineStr">
        <is>
          <t>2026-03-08 11:28</t>
        </is>
      </c>
      <c r="M73" s="2" t="inlineStr">
        <is>
          <t>2026-03-07 18:00</t>
        </is>
      </c>
      <c r="N73" s="2" t="inlineStr">
        <is>
          <t>AVISO DE ANOMALIA</t>
        </is>
      </c>
      <c r="O73" s="2" t="inlineStr">
        <is>
          <t>ETO-RD-AR</t>
        </is>
      </c>
      <c r="P73" s="2" t="inlineStr">
        <is>
          <t>BABACULANDIA</t>
        </is>
      </c>
      <c r="Q73" s="2" t="inlineStr">
        <is>
          <t>POSTE</t>
        </is>
      </c>
      <c r="R73" s="2" t="inlineStr">
        <is>
          <t>DETERIORADA</t>
        </is>
      </c>
      <c r="S73" s="2" t="inlineStr">
        <is>
          <t>172842</t>
        </is>
      </c>
      <c r="T73" s="2" t="n">
        <v>827803</v>
      </c>
      <c r="U73" s="2" t="inlineStr">
        <is>
          <t>sim</t>
        </is>
      </c>
      <c r="V73" s="2" t="n"/>
      <c r="W73" s="2" t="n"/>
      <c r="X73" s="2" t="n"/>
      <c r="Y73" s="2" t="n"/>
      <c r="Z73" s="4" t="inlineStr">
        <is>
          <t>não</t>
        </is>
      </c>
      <c r="AA73" s="4" t="inlineStr">
        <is>
          <t>leitura caso a caso</t>
        </is>
      </c>
      <c r="AB73" s="4" t="inlineStr">
        <is>
          <t>Fora do indicador: o ativo não existe na base de interrupção. Sem registro de interrupção não há evento a medir.</t>
        </is>
      </c>
      <c r="AC73" s="2" t="inlineStr">
        <is>
          <t xml:space="preserve">Bom dia Segue SSSenhores envia equipe na RDR de Babaçulândia para trocar poste e Trafo Trafo: 5701182022Poste: 10/200ID: 55662476Acesso:  Para caminhão e caminhoneteEndereço: Chácara Cantinho Pov. FarturãoOBS: Trocar poste e Trafo. </t>
        </is>
      </c>
      <c r="AD73" s="2"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74" ht="150" customHeight="1">
      <c r="A74" s="2" t="inlineStr">
        <is>
          <t>ETO-RD-AR 00468/2026</t>
        </is>
      </c>
      <c r="B74" s="2" t="inlineStr">
        <is>
          <t>mar</t>
        </is>
      </c>
      <c r="C74" s="3" t="inlineStr">
        <is>
          <t>Sem interrupção comprovada</t>
        </is>
      </c>
      <c r="D74" s="2" t="inlineStr">
        <is>
          <t>Sem interrupção</t>
        </is>
      </c>
      <c r="E74" s="2" t="inlineStr">
        <is>
          <t>EXPURGO</t>
        </is>
      </c>
      <c r="F74" s="2" t="inlineStr">
        <is>
          <t>QUEIMADO</t>
        </is>
      </c>
      <c r="G74" s="2" t="inlineStr">
        <is>
          <t>esteira 1.582</t>
        </is>
      </c>
      <c r="H74" s="2" t="inlineStr">
        <is>
          <t>AUSENTE DA CRÍTICA</t>
        </is>
      </c>
      <c r="I74" s="2" t="n">
        <v>5301889004</v>
      </c>
      <c r="J74" s="2" t="inlineStr">
        <is>
          <t>ENC-MLAR01  000136/2026</t>
        </is>
      </c>
      <c r="K74" s="2" t="n">
        <v>612600312</v>
      </c>
      <c r="L74" s="2" t="inlineStr">
        <is>
          <t>2026-03-12 19:30</t>
        </is>
      </c>
      <c r="M74" s="2" t="inlineStr">
        <is>
          <t>2026-03-13 15:30</t>
        </is>
      </c>
      <c r="N74" s="2" t="inlineStr">
        <is>
          <t>FORMS SUBST DE TRANSFORMADOR</t>
        </is>
      </c>
      <c r="O74" s="2" t="inlineStr">
        <is>
          <t>ETO-RD-AR</t>
        </is>
      </c>
      <c r="P74" s="2" t="inlineStr">
        <is>
          <t>ARAGUAINA</t>
        </is>
      </c>
      <c r="Q74" s="2" t="inlineStr">
        <is>
          <t>QUEIMADO</t>
        </is>
      </c>
      <c r="R74" s="2" t="inlineStr">
        <is>
          <t>BUCHA DANIFICADA</t>
        </is>
      </c>
      <c r="S74" s="2" t="inlineStr">
        <is>
          <t>141362</t>
        </is>
      </c>
      <c r="T74" s="2" t="n">
        <v>826192</v>
      </c>
      <c r="U74" s="2" t="inlineStr">
        <is>
          <t>sim</t>
        </is>
      </c>
      <c r="V74" s="2" t="n"/>
      <c r="W74" s="2" t="n"/>
      <c r="X74" s="2" t="n"/>
      <c r="Y74" s="2" t="n"/>
      <c r="Z74" s="4" t="inlineStr">
        <is>
          <t>não</t>
        </is>
      </c>
      <c r="AA74" s="4" t="inlineStr">
        <is>
          <t>leitura caso a caso</t>
        </is>
      </c>
      <c r="AB74" s="4"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AC74" s="2" t="inlineStr">
        <is>
          <t>Trafo 570188904 queimado 15kvaAcesso: Somente caminhonetePara-raio; Queimado Equipe: 004op26</t>
        </is>
      </c>
      <c r="AD74" s="2"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75" ht="90" customHeight="1">
      <c r="A75" s="2" t="inlineStr">
        <is>
          <t>ETO-RD-AR 00504/2026</t>
        </is>
      </c>
      <c r="B75" s="2" t="inlineStr">
        <is>
          <t>mar</t>
        </is>
      </c>
      <c r="C75" s="3" t="inlineStr">
        <is>
          <t>Sem interrupção comprovada</t>
        </is>
      </c>
      <c r="D75" s="2" t="inlineStr">
        <is>
          <t>Sem interrupção</t>
        </is>
      </c>
      <c r="E75" s="2" t="inlineStr">
        <is>
          <t>EXPURGO</t>
        </is>
      </c>
      <c r="F75" s="2" t="inlineStr">
        <is>
          <t>QUEIMADO</t>
        </is>
      </c>
      <c r="G75" s="2" t="inlineStr">
        <is>
          <t>esteira 1.582</t>
        </is>
      </c>
      <c r="H75" s="2" t="inlineStr">
        <is>
          <t>AUSENTE DA CRÍTICA</t>
        </is>
      </c>
      <c r="I75" s="2" t="n">
        <v>5752570159</v>
      </c>
      <c r="J75" s="2" t="inlineStr">
        <is>
          <t>ENC-MLAR05  000157/2026</t>
        </is>
      </c>
      <c r="K75" s="2" t="n">
        <v>612600330</v>
      </c>
      <c r="L75" s="2" t="inlineStr">
        <is>
          <t>2026-03-17 20:04</t>
        </is>
      </c>
      <c r="M75" s="2" t="inlineStr">
        <is>
          <t>2026-03-18 21:24</t>
        </is>
      </c>
      <c r="N75" s="2" t="inlineStr">
        <is>
          <t>FORMS SUBST DE TRANSFORMADOR</t>
        </is>
      </c>
      <c r="O75" s="2" t="inlineStr">
        <is>
          <t>ETO-RD-AR</t>
        </is>
      </c>
      <c r="P75" s="2" t="inlineStr">
        <is>
          <t>MURICILANDIA</t>
        </is>
      </c>
      <c r="Q75" s="2" t="inlineStr">
        <is>
          <t>QUEIMADO</t>
        </is>
      </c>
      <c r="R75" s="2" t="inlineStr">
        <is>
          <t>DESCARGA ATMOSFÉRICA</t>
        </is>
      </c>
      <c r="S75" s="2" t="inlineStr">
        <is>
          <t>1298121</t>
        </is>
      </c>
      <c r="T75" s="2" t="n">
        <v>586769</v>
      </c>
      <c r="U75" s="2" t="inlineStr">
        <is>
          <t>sim</t>
        </is>
      </c>
      <c r="V75" s="2" t="inlineStr">
        <is>
          <t>CAUSA NAO IDENTIFICADA</t>
        </is>
      </c>
      <c r="W75" s="2" t="inlineStr">
        <is>
          <t>CAUSA NAO IDENTIFICADA - ESPECIFICAR</t>
        </is>
      </c>
      <c r="X75" s="2" t="n"/>
      <c r="Y75" s="2" t="n"/>
      <c r="Z75" s="4" t="inlineStr">
        <is>
          <t>SIM</t>
        </is>
      </c>
      <c r="AA75" s="4" t="inlineStr">
        <is>
          <t>leitura caso a caso</t>
        </is>
      </c>
      <c r="AB75"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5" s="2" t="inlineStr">
        <is>
          <t>5752570159 30kva 34.5kv e para raioacesso livre</t>
        </is>
      </c>
      <c r="AD75" s="2"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76" ht="90" customHeight="1">
      <c r="A76" s="2" t="inlineStr">
        <is>
          <t>ETO-RD-AR 00555/2026</t>
        </is>
      </c>
      <c r="B76" s="2" t="inlineStr">
        <is>
          <t>mar</t>
        </is>
      </c>
      <c r="C76" s="3" t="inlineStr">
        <is>
          <t>Sem interrupção comprovada</t>
        </is>
      </c>
      <c r="D76" s="2" t="inlineStr">
        <is>
          <t>Sem interrupção</t>
        </is>
      </c>
      <c r="E76" s="2" t="inlineStr">
        <is>
          <t>EXPURGO</t>
        </is>
      </c>
      <c r="F76" s="2" t="inlineStr">
        <is>
          <t>QUEIMADO</t>
        </is>
      </c>
      <c r="G76" s="2" t="inlineStr">
        <is>
          <t>esteira 1.582</t>
        </is>
      </c>
      <c r="H76" s="2" t="inlineStr">
        <is>
          <t>AUSENTE DA CRÍTICA</t>
        </is>
      </c>
      <c r="I76" s="2" t="n">
        <v>5702259004</v>
      </c>
      <c r="J76" s="2" t="inlineStr">
        <is>
          <t>ETO-RD-AR  000876/2026</t>
        </is>
      </c>
      <c r="K76" s="2" t="n">
        <v>612600355</v>
      </c>
      <c r="L76" s="2" t="inlineStr">
        <is>
          <t>2026-03-25 19:39</t>
        </is>
      </c>
      <c r="M76" s="2" t="inlineStr">
        <is>
          <t>2026-03-26 17:28</t>
        </is>
      </c>
      <c r="N76" s="2" t="inlineStr">
        <is>
          <t>FORMS SUBST DE TRANSFORMADOR</t>
        </is>
      </c>
      <c r="O76" s="2" t="inlineStr">
        <is>
          <t>ETO-RD-AR</t>
        </is>
      </c>
      <c r="P76" s="2" t="inlineStr">
        <is>
          <t>ARAGUAINA</t>
        </is>
      </c>
      <c r="Q76" s="2" t="inlineStr">
        <is>
          <t>QUEIMADO</t>
        </is>
      </c>
      <c r="R76" s="2" t="inlineStr">
        <is>
          <t>NÃO IDENTIFICADO</t>
        </is>
      </c>
      <c r="S76" s="2" t="n"/>
      <c r="T76" s="2" t="n"/>
      <c r="U76" s="2" t="inlineStr">
        <is>
          <t>não</t>
        </is>
      </c>
      <c r="V76" s="2" t="n"/>
      <c r="W76" s="2" t="n"/>
      <c r="X76" s="2" t="n"/>
      <c r="Y76" s="2" t="n"/>
      <c r="Z76" s="4" t="inlineStr">
        <is>
          <t>SIM</t>
        </is>
      </c>
      <c r="AA76" s="4" t="inlineStr">
        <is>
          <t>leitura caso a caso</t>
        </is>
      </c>
      <c r="AB7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6" s="2" t="inlineStr">
        <is>
          <t>trafo queimado 5702259004 queimado 15 kv 19,9 kva para raio Bom acesso bom.fazenda Santa Tereza - UC 3165559-0 cliente: Persio de Freitas Vilela. RDR Arapoema</t>
        </is>
      </c>
      <c r="AD76" s="2" t="inlineStr">
        <is>
          <t>trafo queimado 5702259004 queimado 15 kv 19,9 kva para raio Bom acesso bom. 
fazenda Santa Tereza - UC 3165559-0 cliente: Persio de Freitas Vilela.  
RDR Arapoema</t>
        </is>
      </c>
    </row>
    <row r="77" ht="45" customHeight="1">
      <c r="A77" s="2" t="inlineStr">
        <is>
          <t>ETO-RD-AR 00557/2026</t>
        </is>
      </c>
      <c r="B77" s="2" t="inlineStr">
        <is>
          <t>mar</t>
        </is>
      </c>
      <c r="C77" s="3" t="inlineStr">
        <is>
          <t>Sem interrupção comprovada</t>
        </is>
      </c>
      <c r="D77" s="2" t="inlineStr">
        <is>
          <t>Sem interrupção</t>
        </is>
      </c>
      <c r="E77" s="2" t="inlineStr">
        <is>
          <t>EXPURGO</t>
        </is>
      </c>
      <c r="F77" s="2" t="inlineStr">
        <is>
          <t>QUEIMADO</t>
        </is>
      </c>
      <c r="G77" s="2" t="inlineStr">
        <is>
          <t>esteira 1.582</t>
        </is>
      </c>
      <c r="H77" s="2" t="inlineStr">
        <is>
          <t>AUSENTE DA CRÍTICA</t>
        </is>
      </c>
      <c r="I77" s="2" t="n">
        <v>5710138077</v>
      </c>
      <c r="J77" s="2" t="inlineStr">
        <is>
          <t>ENC-MLAR02  000072/2026</t>
        </is>
      </c>
      <c r="K77" s="2" t="n">
        <v>612600344</v>
      </c>
      <c r="L77" s="2" t="inlineStr">
        <is>
          <t>2026-03-26 08:51</t>
        </is>
      </c>
      <c r="M77" s="2" t="inlineStr">
        <is>
          <t>2026-03-27 18:00</t>
        </is>
      </c>
      <c r="N77" s="2" t="inlineStr">
        <is>
          <t>FORMS SUBST DE TRANSFORMADOR</t>
        </is>
      </c>
      <c r="O77" s="2" t="inlineStr">
        <is>
          <t>ETO-RD-AR</t>
        </is>
      </c>
      <c r="P77" s="2" t="inlineStr">
        <is>
          <t>GOIATINS</t>
        </is>
      </c>
      <c r="Q77" s="2" t="inlineStr">
        <is>
          <t>AVARIADO</t>
        </is>
      </c>
      <c r="R77" s="2" t="inlineStr">
        <is>
          <t>SOBRECARGA</t>
        </is>
      </c>
      <c r="S77" s="2" t="inlineStr">
        <is>
          <t>69463</t>
        </is>
      </c>
      <c r="T77" s="2" t="n"/>
      <c r="U77" s="2" t="inlineStr">
        <is>
          <t>não</t>
        </is>
      </c>
      <c r="V77" s="2" t="n"/>
      <c r="W77" s="2" t="n"/>
      <c r="X77" s="2" t="n"/>
      <c r="Y77" s="2" t="n"/>
      <c r="Z77" s="4" t="inlineStr">
        <is>
          <t>SIM</t>
        </is>
      </c>
      <c r="AA77" s="4" t="inlineStr">
        <is>
          <t>leitura caso a caso</t>
        </is>
      </c>
      <c r="AB77" s="4" t="inlineStr">
        <is>
          <t>Fora do indicador: o ativo não existe na base de interrupção. Sem registro de interrupção não há evento a medir.</t>
        </is>
      </c>
      <c r="AC77" s="2" t="inlineStr">
        <is>
          <t>TR-5710138077 o mesmo não esta entregando a tensão adequadapara queimadopotência 10kvatensão 13,8kvacesso livreequipe 265op0 tel-63992212789</t>
        </is>
      </c>
      <c r="AD77" s="2"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78" ht="45" customHeight="1">
      <c r="A78" s="2" t="inlineStr">
        <is>
          <t>ETO-RD-AR 00582/2026</t>
        </is>
      </c>
      <c r="B78" s="2" t="inlineStr">
        <is>
          <t>mar</t>
        </is>
      </c>
      <c r="C78" s="3" t="inlineStr">
        <is>
          <t>Sem interrupção comprovada</t>
        </is>
      </c>
      <c r="D78" s="2" t="inlineStr">
        <is>
          <t>Sem interrupção</t>
        </is>
      </c>
      <c r="E78" s="2" t="inlineStr">
        <is>
          <t>EXPURGO</t>
        </is>
      </c>
      <c r="F78" s="2" t="inlineStr">
        <is>
          <t>QUEIMADO</t>
        </is>
      </c>
      <c r="G78" s="2" t="inlineStr">
        <is>
          <t>esteira 1.582</t>
        </is>
      </c>
      <c r="H78" s="2" t="inlineStr">
        <is>
          <t>AUSENTE DA CRÍTICA</t>
        </is>
      </c>
      <c r="I78" s="2" t="n">
        <v>5710015080</v>
      </c>
      <c r="J78" s="2" t="inlineStr">
        <is>
          <t>ENC-MLAR03  000042/2026</t>
        </is>
      </c>
      <c r="K78" s="2" t="n">
        <v>612600374</v>
      </c>
      <c r="L78" s="2" t="inlineStr">
        <is>
          <t>2026-03-31 20:03</t>
        </is>
      </c>
      <c r="M78" s="2" t="inlineStr">
        <is>
          <t>2026-04-02 14:50</t>
        </is>
      </c>
      <c r="N78" s="2" t="inlineStr">
        <is>
          <t>FORMS SUBST DE TRANSFORMADOR</t>
        </is>
      </c>
      <c r="O78" s="2" t="inlineStr">
        <is>
          <t>ETO-RD-AR</t>
        </is>
      </c>
      <c r="P78" s="2" t="inlineStr">
        <is>
          <t>DARCINOPOLIS</t>
        </is>
      </c>
      <c r="Q78" s="2" t="inlineStr">
        <is>
          <t>QUEIMADO</t>
        </is>
      </c>
      <c r="R78" s="2" t="inlineStr">
        <is>
          <t>SOBRECARGA</t>
        </is>
      </c>
      <c r="S78" s="2" t="inlineStr">
        <is>
          <t>533216</t>
        </is>
      </c>
      <c r="T78" s="2" t="n">
        <v>828055</v>
      </c>
      <c r="U78" s="2" t="inlineStr">
        <is>
          <t>sim</t>
        </is>
      </c>
      <c r="V78" s="2" t="n"/>
      <c r="W78" s="2" t="n"/>
      <c r="X78" s="2" t="n"/>
      <c r="Y78" s="2" t="n"/>
      <c r="Z78" s="4" t="inlineStr">
        <is>
          <t>SIM</t>
        </is>
      </c>
      <c r="AA78" s="4" t="inlineStr">
        <is>
          <t>leitura caso a caso</t>
        </is>
      </c>
      <c r="AB78" s="4" t="inlineStr">
        <is>
          <t>Fora do indicador: o ativo não existe na base de interrupção. Sem registro de interrupção não há evento a medir.</t>
        </is>
      </c>
      <c r="AC78" s="2" t="inlineStr">
        <is>
          <t>Trafo: 5710015080 QueimadoPotência: 15 KVARede: 34.5Pararaio: 34.5Acesso: só pra veículo traçadoSubstituir o mesmo pois está com a bucha primária quebrado por descarga atmosférica</t>
        </is>
      </c>
      <c r="AD78" s="2" t="inlineStr">
        <is>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is>
      </c>
    </row>
    <row r="79" ht="90" customHeight="1">
      <c r="A79" s="2" t="inlineStr">
        <is>
          <t>ETO-RD-GU 00377/2026</t>
        </is>
      </c>
      <c r="B79" s="2" t="inlineStr">
        <is>
          <t>mar</t>
        </is>
      </c>
      <c r="C79" s="3" t="inlineStr">
        <is>
          <t>Sem interrupção comprovada</t>
        </is>
      </c>
      <c r="D79" s="2" t="inlineStr">
        <is>
          <t>Sem interrupção</t>
        </is>
      </c>
      <c r="E79" s="2" t="inlineStr">
        <is>
          <t>EXPURGO</t>
        </is>
      </c>
      <c r="F79" s="2" t="inlineStr">
        <is>
          <t>QUEIMADO</t>
        </is>
      </c>
      <c r="G79" s="2" t="inlineStr">
        <is>
          <t>esteira 1.582</t>
        </is>
      </c>
      <c r="H79" s="2" t="inlineStr">
        <is>
          <t>AUSENTE DA CRÍTICA</t>
        </is>
      </c>
      <c r="I79" s="2" t="n">
        <v>5731386073</v>
      </c>
      <c r="J79" s="2" t="inlineStr">
        <is>
          <t>ETO-RD-GU  000932/2026</t>
        </is>
      </c>
      <c r="K79" s="2" t="n">
        <v>412600315</v>
      </c>
      <c r="L79" s="2" t="inlineStr">
        <is>
          <t>2026-03-23 18:27</t>
        </is>
      </c>
      <c r="M79" s="2" t="inlineStr">
        <is>
          <t>2026-03-25 15:50</t>
        </is>
      </c>
      <c r="N79" s="2" t="inlineStr">
        <is>
          <t>FORMS SUBST DE TRANSFORMADOR</t>
        </is>
      </c>
      <c r="O79" s="2" t="inlineStr">
        <is>
          <t>ETO-RD-GU</t>
        </is>
      </c>
      <c r="P79" s="2" t="inlineStr">
        <is>
          <t>LAGOA DA CONFUSAO</t>
        </is>
      </c>
      <c r="Q79" s="2" t="inlineStr">
        <is>
          <t>QUEIMADO</t>
        </is>
      </c>
      <c r="R79" s="2" t="inlineStr">
        <is>
          <t>DESCARGA ATMOSFÉRICA</t>
        </is>
      </c>
      <c r="S79" s="2" t="inlineStr">
        <is>
          <t>368891</t>
        </is>
      </c>
      <c r="T79" s="2" t="n">
        <v>827891</v>
      </c>
      <c r="U79" s="2" t="inlineStr">
        <is>
          <t>sim</t>
        </is>
      </c>
      <c r="V79" s="2" t="inlineStr">
        <is>
          <t>TRANSFORMADOR</t>
        </is>
      </c>
      <c r="W79" s="2" t="inlineStr">
        <is>
          <t>QUEIMADO POR CAUSA NAO IDENTIFICADA</t>
        </is>
      </c>
      <c r="X79" s="2" t="n"/>
      <c r="Y79" s="2" t="n"/>
      <c r="Z79" s="4" t="inlineStr">
        <is>
          <t>SIM</t>
        </is>
      </c>
      <c r="AA79" s="4" t="inlineStr">
        <is>
          <t>leitura caso a caso</t>
        </is>
      </c>
      <c r="AB79"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9" s="2" t="inlineStr">
        <is>
          <t>TRAFO 5731386073 QUEIMADO EM CAMPO DE 15 KVA ACESSO APENAS DE BARCO REGIAO ALAGADAPARA RAIO QUEIMADO   .</t>
        </is>
      </c>
      <c r="AD79" s="2" t="inlineStr">
        <is>
          <t>SS: ETO-RD-GU 377-2026 
LOCALIDADE: LAGOA DA CONFUSÃO 
FOI FEITO A TROCA DE UM TRANSFORMADOR DE 15KVA POR 15KVA</t>
        </is>
      </c>
    </row>
    <row r="80" ht="90" customHeight="1">
      <c r="A80" s="2" t="inlineStr">
        <is>
          <t>DG-RD-PO 00333/2026</t>
        </is>
      </c>
      <c r="B80" s="2" t="inlineStr">
        <is>
          <t>abr</t>
        </is>
      </c>
      <c r="C80" s="3" t="inlineStr">
        <is>
          <t>Sem interrupção comprovada</t>
        </is>
      </c>
      <c r="D80" s="2" t="inlineStr">
        <is>
          <t>Sem interrupção</t>
        </is>
      </c>
      <c r="E80" s="2" t="inlineStr">
        <is>
          <t>EXPURGO</t>
        </is>
      </c>
      <c r="F80" s="2" t="inlineStr">
        <is>
          <t>QUEIMADO</t>
        </is>
      </c>
      <c r="G80" s="2" t="inlineStr">
        <is>
          <t>esteira 1.582</t>
        </is>
      </c>
      <c r="H80" s="2" t="inlineStr">
        <is>
          <t>AUSENTE DA CRÍTICA</t>
        </is>
      </c>
      <c r="I80" s="2" t="n">
        <v>5700494044</v>
      </c>
      <c r="J80" s="2" t="inlineStr">
        <is>
          <t>DG-MLPO02  000062/2026</t>
        </is>
      </c>
      <c r="K80" s="2" t="n">
        <v>312600263</v>
      </c>
      <c r="L80" s="2" t="inlineStr">
        <is>
          <t>2026-04-14 17:47</t>
        </is>
      </c>
      <c r="M80" s="2" t="inlineStr">
        <is>
          <t>2026-04-15 11:50</t>
        </is>
      </c>
      <c r="N80" s="2" t="inlineStr">
        <is>
          <t>FORMS SUBST DE TRANSFORMADOR</t>
        </is>
      </c>
      <c r="O80" s="2" t="inlineStr">
        <is>
          <t>DG-RD-PO</t>
        </is>
      </c>
      <c r="P80" s="2" t="inlineStr">
        <is>
          <t>FATIMA</t>
        </is>
      </c>
      <c r="Q80" s="2" t="inlineStr">
        <is>
          <t>QUEIMADO</t>
        </is>
      </c>
      <c r="R80" s="2" t="inlineStr">
        <is>
          <t>BUCHA DANIFICADA</t>
        </is>
      </c>
      <c r="S80" s="2" t="inlineStr">
        <is>
          <t>186148</t>
        </is>
      </c>
      <c r="T80" s="2" t="n">
        <v>827744</v>
      </c>
      <c r="U80" s="2" t="inlineStr">
        <is>
          <t>sim</t>
        </is>
      </c>
      <c r="V80" s="2" t="inlineStr">
        <is>
          <t>MEIO AMBIENTE</t>
        </is>
      </c>
      <c r="W80" s="2" t="inlineStr">
        <is>
          <t>DESCARGA ATMOSFERICA</t>
        </is>
      </c>
      <c r="X80" s="2" t="n"/>
      <c r="Y80" s="2" t="n"/>
      <c r="Z80" s="4" t="inlineStr">
        <is>
          <t>SIM</t>
        </is>
      </c>
      <c r="AA80" s="4" t="inlineStr">
        <is>
          <t>leitura caso a caso</t>
        </is>
      </c>
      <c r="AB80"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0" s="2" t="inlineStr">
        <is>
          <t>ss para trocar trafo 5700494044 e para raio queimado POTENCIA: 15KVA 7.9KVACESSO CAMINHONETE, CARRO FICA A 30 METROS DO LOCAL</t>
        </is>
      </c>
      <c r="AD80" s="2" t="inlineStr">
        <is>
          <t xml:space="preserve">medido_ 
emergencial_ 
substituição de trafo queimado rdr fatima 
</t>
        </is>
      </c>
    </row>
    <row r="81" ht="90" customHeight="1">
      <c r="A81" s="2" t="inlineStr">
        <is>
          <t>DOLP-RD-PA 00437/2026</t>
        </is>
      </c>
      <c r="B81" s="2" t="inlineStr">
        <is>
          <t>abr</t>
        </is>
      </c>
      <c r="C81" s="3" t="inlineStr">
        <is>
          <t>Sem interrupção comprovada</t>
        </is>
      </c>
      <c r="D81" s="2" t="inlineStr">
        <is>
          <t>Sem interrupção</t>
        </is>
      </c>
      <c r="E81" s="2" t="inlineStr">
        <is>
          <t>EXPURGO</t>
        </is>
      </c>
      <c r="F81" s="2" t="inlineStr">
        <is>
          <t>QUEIMADO</t>
        </is>
      </c>
      <c r="G81" s="2" t="inlineStr">
        <is>
          <t>esteira 1.582</t>
        </is>
      </c>
      <c r="H81" s="2" t="inlineStr">
        <is>
          <t>AUSENTE DA CRÍTICA</t>
        </is>
      </c>
      <c r="I81" s="2" t="n">
        <v>5704106122</v>
      </c>
      <c r="J81" s="2" t="inlineStr">
        <is>
          <t>DLP-CTPA00  000069/2026</t>
        </is>
      </c>
      <c r="K81" s="2" t="n">
        <v>112600401</v>
      </c>
      <c r="L81" s="2" t="inlineStr">
        <is>
          <t>2026-04-09 12:30</t>
        </is>
      </c>
      <c r="M81" s="2" t="inlineStr">
        <is>
          <t>2026-04-09 18:00</t>
        </is>
      </c>
      <c r="N81" s="2" t="inlineStr">
        <is>
          <t>FORMS SUBST DE TRANSFORMADOR</t>
        </is>
      </c>
      <c r="O81" s="2" t="inlineStr">
        <is>
          <t>DOLP-RD-PA</t>
        </is>
      </c>
      <c r="P81" s="2" t="inlineStr">
        <is>
          <t>PALMAS</t>
        </is>
      </c>
      <c r="Q81" s="2" t="inlineStr">
        <is>
          <t>QUEIMADO</t>
        </is>
      </c>
      <c r="R81" s="2" t="inlineStr">
        <is>
          <t>DESCARGA ATMOSFÉRICA</t>
        </is>
      </c>
      <c r="S81" s="2" t="inlineStr">
        <is>
          <t>0</t>
        </is>
      </c>
      <c r="T81" s="2" t="n">
        <v>0</v>
      </c>
      <c r="U81" s="2" t="inlineStr">
        <is>
          <t>não</t>
        </is>
      </c>
      <c r="V81" s="2" t="n"/>
      <c r="W81" s="2" t="n"/>
      <c r="X81" s="2" t="n"/>
      <c r="Y81" s="2" t="n"/>
      <c r="Z81" s="4" t="inlineStr">
        <is>
          <t>SIM</t>
        </is>
      </c>
      <c r="AA81" s="4" t="inlineStr">
        <is>
          <t>leitura caso a caso</t>
        </is>
      </c>
      <c r="AB81"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1" s="2" t="inlineStr">
        <is>
          <t>segue nota de trafo queimado, trafo 5704106122, trafo de 45kva, tensao 13800 / 380 V, para raio danificado, acesso livre</t>
        </is>
      </c>
      <c r="AD81" s="2"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82" ht="45" customHeight="1">
      <c r="A82" s="2" t="inlineStr">
        <is>
          <t>ENC-RD-PS 00438/2026</t>
        </is>
      </c>
      <c r="B82" s="2" t="inlineStr">
        <is>
          <t>abr</t>
        </is>
      </c>
      <c r="C82" s="3" t="inlineStr">
        <is>
          <t>Sem interrupção comprovada</t>
        </is>
      </c>
      <c r="D82" s="2" t="inlineStr">
        <is>
          <t>Sem interrupção</t>
        </is>
      </c>
      <c r="E82" s="2" t="inlineStr">
        <is>
          <t>EXPURGO</t>
        </is>
      </c>
      <c r="F82" s="2" t="inlineStr">
        <is>
          <t>QUEIMADO</t>
        </is>
      </c>
      <c r="G82" s="2" t="inlineStr">
        <is>
          <t>esteira 1.582</t>
        </is>
      </c>
      <c r="H82" s="2" t="inlineStr">
        <is>
          <t>AUSENTE DA CRÍTICA</t>
        </is>
      </c>
      <c r="I82" s="2" t="n">
        <v>5701060070</v>
      </c>
      <c r="J82" s="2" t="inlineStr">
        <is>
          <t>ENC-LMPS04  000063/2026</t>
        </is>
      </c>
      <c r="K82" s="2" t="n">
        <v>212600400</v>
      </c>
      <c r="L82" s="2" t="inlineStr">
        <is>
          <t>2026-04-07 15:20</t>
        </is>
      </c>
      <c r="M82" s="2" t="inlineStr">
        <is>
          <t>2026-04-08 15:45</t>
        </is>
      </c>
      <c r="N82" s="2" t="inlineStr">
        <is>
          <t>FORMS SUBST DE TRANSFORMADOR</t>
        </is>
      </c>
      <c r="O82" s="2" t="inlineStr">
        <is>
          <t>ENC-RD-PS</t>
        </is>
      </c>
      <c r="P82" s="2" t="inlineStr">
        <is>
          <t>RIO SONO</t>
        </is>
      </c>
      <c r="Q82" s="2" t="inlineStr">
        <is>
          <t>QUEIMADO</t>
        </is>
      </c>
      <c r="R82" s="2" t="inlineStr">
        <is>
          <t>DESCARGA ATMOSFÉRICA</t>
        </is>
      </c>
      <c r="S82" s="2" t="inlineStr">
        <is>
          <t>482388</t>
        </is>
      </c>
      <c r="T82" s="2" t="n">
        <v>827361</v>
      </c>
      <c r="U82" s="2" t="inlineStr">
        <is>
          <t>sim</t>
        </is>
      </c>
      <c r="V82" s="2" t="n"/>
      <c r="W82" s="2" t="n"/>
      <c r="X82" s="2" t="n"/>
      <c r="Y82" s="2" t="n"/>
      <c r="Z82" s="4" t="inlineStr">
        <is>
          <t>SIM</t>
        </is>
      </c>
      <c r="AA82" s="4" t="inlineStr">
        <is>
          <t>leitura caso a caso</t>
        </is>
      </c>
      <c r="AB82" s="4" t="inlineStr">
        <is>
          <t>Fora do indicador: o ativo não existe na base de interrupção. Sem registro de interrupção não há evento a medir.</t>
        </is>
      </c>
      <c r="AC82" s="2"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D82" s="2" t="inlineStr">
        <is>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is>
      </c>
    </row>
    <row r="83" ht="45" customHeight="1">
      <c r="A83" s="2" t="inlineStr">
        <is>
          <t>ETO-RD-AG 00437/2026</t>
        </is>
      </c>
      <c r="B83" s="2" t="inlineStr">
        <is>
          <t>abr</t>
        </is>
      </c>
      <c r="C83" s="3" t="inlineStr">
        <is>
          <t>Sem interrupção comprovada</t>
        </is>
      </c>
      <c r="D83" s="2" t="inlineStr">
        <is>
          <t>Sem interrupção</t>
        </is>
      </c>
      <c r="E83" s="2" t="inlineStr">
        <is>
          <t>EXPURGO</t>
        </is>
      </c>
      <c r="F83" s="2" t="inlineStr">
        <is>
          <t>AVARIADO</t>
        </is>
      </c>
      <c r="G83" s="2" t="inlineStr">
        <is>
          <t>esteira 1.582</t>
        </is>
      </c>
      <c r="H83" s="2" t="inlineStr">
        <is>
          <t>AUSENTE DA CRÍTICA</t>
        </is>
      </c>
      <c r="I83" s="2" t="n">
        <v>5700145002</v>
      </c>
      <c r="J83" s="2" t="inlineStr">
        <is>
          <t>ENC-MLAG02  000137/2026</t>
        </is>
      </c>
      <c r="K83" s="2" t="n">
        <v>662600268</v>
      </c>
      <c r="L83" s="2" t="inlineStr">
        <is>
          <t>2026-04-22 08:06</t>
        </is>
      </c>
      <c r="M83" s="2" t="inlineStr">
        <is>
          <t>2026-04-23 06:14</t>
        </is>
      </c>
      <c r="N83" s="2" t="inlineStr">
        <is>
          <t>FORMS SUBST DE TRANSFORMADOR</t>
        </is>
      </c>
      <c r="O83" s="2" t="inlineStr">
        <is>
          <t>ETO-RD-AG</t>
        </is>
      </c>
      <c r="P83" s="2" t="inlineStr">
        <is>
          <t>TOCANTINOPOLIS</t>
        </is>
      </c>
      <c r="Q83" s="2" t="inlineStr">
        <is>
          <t>AVARIADO</t>
        </is>
      </c>
      <c r="R83" s="2" t="inlineStr">
        <is>
          <t>BUCHA DANIFICADA</t>
        </is>
      </c>
      <c r="S83" s="2" t="inlineStr">
        <is>
          <t>49185</t>
        </is>
      </c>
      <c r="T83" s="2" t="n"/>
      <c r="U83" s="2" t="inlineStr">
        <is>
          <t>não</t>
        </is>
      </c>
      <c r="V83" s="2" t="n"/>
      <c r="W83" s="2" t="n"/>
      <c r="X83" s="2" t="n"/>
      <c r="Y83" s="2" t="n"/>
      <c r="Z83" s="4" t="inlineStr">
        <is>
          <t>SIM</t>
        </is>
      </c>
      <c r="AA83" s="4" t="inlineStr">
        <is>
          <t>leitura caso a caso</t>
        </is>
      </c>
      <c r="AB83" s="4" t="inlineStr">
        <is>
          <t>Fora do indicador: o ativo não existe na base de interrupção. Sem registro de interrupção não há evento a medir.</t>
        </is>
      </c>
      <c r="AC83" s="2" t="inlineStr">
        <is>
          <t>Segue SS de TR 5700145002 15KVA/7.9KV avariado com a bucha primária trincada e vazamento de óleo nas buchas secundárias.Acesso livre.UC 218774DISTRITO SANITARIO ESPECIAL INDIGENA TOCANTINSJoison 63 98404-8858</t>
        </is>
      </c>
      <c r="AD83" s="2"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84" ht="45" customHeight="1">
      <c r="A84" s="2" t="inlineStr">
        <is>
          <t>ETO-RD-AR 00658/2026</t>
        </is>
      </c>
      <c r="B84" s="2" t="inlineStr">
        <is>
          <t>abr</t>
        </is>
      </c>
      <c r="C84" s="3" t="inlineStr">
        <is>
          <t>Sem interrupção comprovada</t>
        </is>
      </c>
      <c r="D84" s="2" t="inlineStr">
        <is>
          <t>Sem interrupção</t>
        </is>
      </c>
      <c r="E84" s="2" t="inlineStr">
        <is>
          <t>EXPURGO</t>
        </is>
      </c>
      <c r="F84" s="2" t="inlineStr">
        <is>
          <t>QUEIMADO</t>
        </is>
      </c>
      <c r="G84" s="2" t="inlineStr">
        <is>
          <t>esteira 1.582</t>
        </is>
      </c>
      <c r="H84" s="2" t="inlineStr">
        <is>
          <t>AUSENTE DA CRÍTICA</t>
        </is>
      </c>
      <c r="I84" s="2" t="n">
        <v>5761134022</v>
      </c>
      <c r="J84" s="2" t="inlineStr">
        <is>
          <t>ENC-MLAR01  000177/2026</t>
        </is>
      </c>
      <c r="K84" s="2" t="n">
        <v>612600400</v>
      </c>
      <c r="L84" s="2" t="inlineStr">
        <is>
          <t>2026-04-10 10:56</t>
        </is>
      </c>
      <c r="M84" s="2" t="inlineStr">
        <is>
          <t>2026-04-10 14:49</t>
        </is>
      </c>
      <c r="N84" s="2" t="inlineStr">
        <is>
          <t>FORMS SUBST DE TRANSFORMADOR</t>
        </is>
      </c>
      <c r="O84" s="2" t="inlineStr">
        <is>
          <t>ETO-RD-AR</t>
        </is>
      </c>
      <c r="P84" s="2" t="inlineStr">
        <is>
          <t>BABACULANDIA</t>
        </is>
      </c>
      <c r="Q84" s="2" t="inlineStr">
        <is>
          <t>QUEIMADO</t>
        </is>
      </c>
      <c r="R84" s="2" t="inlineStr">
        <is>
          <t>NÃO IDENTIFICADO</t>
        </is>
      </c>
      <c r="S84" s="2" t="inlineStr">
        <is>
          <t>581755</t>
        </is>
      </c>
      <c r="T84" s="2" t="n">
        <v>1319660</v>
      </c>
      <c r="U84" s="2" t="inlineStr">
        <is>
          <t>sim</t>
        </is>
      </c>
      <c r="V84" s="2" t="n"/>
      <c r="W84" s="2" t="n"/>
      <c r="X84" s="2" t="n"/>
      <c r="Y84" s="2" t="n"/>
      <c r="Z84" s="4" t="inlineStr">
        <is>
          <t>SIM</t>
        </is>
      </c>
      <c r="AA84" s="4" t="inlineStr">
        <is>
          <t>leitura caso a caso</t>
        </is>
      </c>
      <c r="AB84" s="4" t="inlineStr">
        <is>
          <t>Fora do indicador: o ativo não existe na base de interrupção. Sem registro de interrupção não há evento a medir.</t>
        </is>
      </c>
      <c r="AC84" s="2" t="inlineStr">
        <is>
          <t>trafo 5761134022 75kva 34.5kv queimado</t>
        </is>
      </c>
      <c r="AD84" s="2"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is>
      </c>
    </row>
    <row r="85" ht="45" customHeight="1">
      <c r="A85" s="2" t="inlineStr">
        <is>
          <t>ETO-RD-AR 00690/2026</t>
        </is>
      </c>
      <c r="B85" s="2" t="inlineStr">
        <is>
          <t>abr</t>
        </is>
      </c>
      <c r="C85" s="3" t="inlineStr">
        <is>
          <t>Sem interrupção comprovada</t>
        </is>
      </c>
      <c r="D85" s="2" t="inlineStr">
        <is>
          <t>Sem interrupção</t>
        </is>
      </c>
      <c r="E85" s="2" t="inlineStr">
        <is>
          <t>EXPURGO</t>
        </is>
      </c>
      <c r="F85" s="2" t="inlineStr">
        <is>
          <t>AVARIADO</t>
        </is>
      </c>
      <c r="G85" s="2" t="inlineStr">
        <is>
          <t>esteira 1.582</t>
        </is>
      </c>
      <c r="H85" s="2" t="inlineStr">
        <is>
          <t>AUSENTE DA CRÍTICA</t>
        </is>
      </c>
      <c r="I85" s="2" t="n">
        <v>5766930077</v>
      </c>
      <c r="J85" s="2" t="inlineStr">
        <is>
          <t>ENC-MPAR01  000025/2026</t>
        </is>
      </c>
      <c r="K85" s="2" t="n">
        <v>612600428</v>
      </c>
      <c r="L85" s="2" t="inlineStr">
        <is>
          <t>2026-04-16 12:36</t>
        </is>
      </c>
      <c r="M85" s="2" t="inlineStr">
        <is>
          <t>2026-04-17 16:30</t>
        </is>
      </c>
      <c r="N85" s="2" t="inlineStr">
        <is>
          <t>AVISO DE ANOMALIA</t>
        </is>
      </c>
      <c r="O85" s="2" t="inlineStr">
        <is>
          <t>ETO-RD-AR</t>
        </is>
      </c>
      <c r="P85" s="2" t="inlineStr">
        <is>
          <t>GOIATINS</t>
        </is>
      </c>
      <c r="Q85" s="2" t="inlineStr">
        <is>
          <t>AVARIADO</t>
        </is>
      </c>
      <c r="R85" s="2" t="inlineStr">
        <is>
          <t>VAZAMENTO DE ÓLEO</t>
        </is>
      </c>
      <c r="S85" s="2" t="inlineStr">
        <is>
          <t>C 287176</t>
        </is>
      </c>
      <c r="T85" s="2" t="n">
        <v>827951</v>
      </c>
      <c r="U85" s="2" t="inlineStr">
        <is>
          <t>sim</t>
        </is>
      </c>
      <c r="V85" s="2" t="n"/>
      <c r="W85" s="2" t="n"/>
      <c r="X85" s="2" t="n"/>
      <c r="Y85" s="2" t="n"/>
      <c r="Z85" s="4" t="inlineStr">
        <is>
          <t>não</t>
        </is>
      </c>
      <c r="AA85" s="4" t="inlineStr">
        <is>
          <t>leitura caso a caso</t>
        </is>
      </c>
      <c r="AB85" s="4" t="inlineStr">
        <is>
          <t>Fora do indicador: o ativo não existe na base de interrupção. Sem registro de interrupção não há evento a medir.</t>
        </is>
      </c>
      <c r="AC85" s="2" t="inlineStr">
        <is>
          <t>Boa tarde,Favor enviar manutenção para verificar trafo com vazamento de oleo no comutador de TAPTensão: 34,5Potencia: 15 kvaPara raio bomACESSO LIVREChacara Deus e Fiel</t>
        </is>
      </c>
      <c r="AD85" s="2" t="inlineStr">
        <is>
          <t xml:space="preserve">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 
</t>
        </is>
      </c>
    </row>
    <row r="86" ht="45" customHeight="1">
      <c r="A86" s="2" t="inlineStr">
        <is>
          <t>ETO-RD-AR 00700/2026</t>
        </is>
      </c>
      <c r="B86" s="2" t="inlineStr">
        <is>
          <t>abr</t>
        </is>
      </c>
      <c r="C86" s="3" t="inlineStr">
        <is>
          <t>Sem interrupção comprovada</t>
        </is>
      </c>
      <c r="D86" s="2" t="inlineStr">
        <is>
          <t>Sem interrupção</t>
        </is>
      </c>
      <c r="E86" s="2" t="inlineStr">
        <is>
          <t>EXPURGO</t>
        </is>
      </c>
      <c r="F86" s="2" t="inlineStr">
        <is>
          <t>QUEIMADO</t>
        </is>
      </c>
      <c r="G86" s="2" t="inlineStr">
        <is>
          <t>esteira 1.582</t>
        </is>
      </c>
      <c r="H86" s="2" t="inlineStr">
        <is>
          <t>AUSENTE DA CRÍTICA</t>
        </is>
      </c>
      <c r="I86" s="2" t="n">
        <v>5710170025</v>
      </c>
      <c r="J86" s="2" t="inlineStr">
        <is>
          <t>ENC-MPAR01  000026/2026</t>
        </is>
      </c>
      <c r="K86" s="2" t="n">
        <v>612600429</v>
      </c>
      <c r="L86" s="2" t="inlineStr">
        <is>
          <t>2026-04-17 14:38</t>
        </is>
      </c>
      <c r="M86" s="2" t="inlineStr">
        <is>
          <t>2026-04-18 15:56</t>
        </is>
      </c>
      <c r="N86" s="2" t="inlineStr">
        <is>
          <t>FORMS SUBST DE TRANSFORMADOR</t>
        </is>
      </c>
      <c r="O86" s="2" t="inlineStr">
        <is>
          <t>ETO-RD-AR</t>
        </is>
      </c>
      <c r="P86" s="2" t="inlineStr">
        <is>
          <t>ARAPOEMA</t>
        </is>
      </c>
      <c r="Q86" s="2" t="inlineStr">
        <is>
          <t>QUEIMADO</t>
        </is>
      </c>
      <c r="R86" s="2" t="inlineStr">
        <is>
          <t>VAZAMENTO DE ÓLEO</t>
        </is>
      </c>
      <c r="S86" s="2" t="inlineStr">
        <is>
          <t>1663552</t>
        </is>
      </c>
      <c r="T86" s="2" t="n">
        <v>828161</v>
      </c>
      <c r="U86" s="2" t="inlineStr">
        <is>
          <t>sim</t>
        </is>
      </c>
      <c r="V86" s="2" t="n"/>
      <c r="W86" s="2" t="n"/>
      <c r="X86" s="2" t="n"/>
      <c r="Y86" s="2" t="n"/>
      <c r="Z86" s="4" t="inlineStr">
        <is>
          <t>SIM</t>
        </is>
      </c>
      <c r="AA86" s="4" t="inlineStr">
        <is>
          <t>leitura caso a caso</t>
        </is>
      </c>
      <c r="AB86" s="4" t="inlineStr">
        <is>
          <t>Fora do indicador: o ativo não existe na base de interrupção. Sem registro de interrupção não há evento a medir.</t>
        </is>
      </c>
      <c r="AC86" s="2" t="inlineStr">
        <is>
          <t>trafo 5710170025 queimado acesso bom para caminhonete 25kvaequipe 025op01</t>
        </is>
      </c>
      <c r="AD86" s="2"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is>
      </c>
    </row>
    <row r="87" ht="135" customHeight="1">
      <c r="A87" s="2" t="inlineStr">
        <is>
          <t>ETO-RD-AR 00702/2026</t>
        </is>
      </c>
      <c r="B87" s="2" t="inlineStr">
        <is>
          <t>abr</t>
        </is>
      </c>
      <c r="C87" s="3" t="inlineStr">
        <is>
          <t>Sem interrupção comprovada</t>
        </is>
      </c>
      <c r="D87" s="2" t="inlineStr">
        <is>
          <t>Sem interrupção</t>
        </is>
      </c>
      <c r="E87" s="2" t="inlineStr">
        <is>
          <t>EXPURGO</t>
        </is>
      </c>
      <c r="F87" s="2" t="inlineStr">
        <is>
          <t>QUEIMADO</t>
        </is>
      </c>
      <c r="G87" s="2" t="inlineStr">
        <is>
          <t>esteira 1.582</t>
        </is>
      </c>
      <c r="H87" s="2" t="inlineStr">
        <is>
          <t>AUSENTE DA CRÍTICA</t>
        </is>
      </c>
      <c r="I87" s="2" t="n">
        <v>5701086022</v>
      </c>
      <c r="J87" s="2" t="inlineStr">
        <is>
          <t>ENC-MLAR01  000190/2026</t>
        </is>
      </c>
      <c r="K87" s="2" t="n">
        <v>612600425</v>
      </c>
      <c r="L87" s="2" t="inlineStr">
        <is>
          <t>2026-04-18 17:12</t>
        </is>
      </c>
      <c r="M87" s="2" t="inlineStr">
        <is>
          <t>2026-04-19 11:35</t>
        </is>
      </c>
      <c r="N87" s="2" t="inlineStr">
        <is>
          <t>FORMS SUBST DE TRANSFORMADOR</t>
        </is>
      </c>
      <c r="O87" s="2" t="inlineStr">
        <is>
          <t>ETO-RD-AR</t>
        </is>
      </c>
      <c r="P87" s="2" t="inlineStr">
        <is>
          <t>BABACULANDIA</t>
        </is>
      </c>
      <c r="Q87" s="2" t="inlineStr">
        <is>
          <t>QUEIMADO</t>
        </is>
      </c>
      <c r="R87" s="2" t="inlineStr">
        <is>
          <t>DESCARGA ATMOSFÉRICA</t>
        </is>
      </c>
      <c r="S87" s="2" t="inlineStr">
        <is>
          <t>E1274</t>
        </is>
      </c>
      <c r="T87" s="2" t="n">
        <v>827915</v>
      </c>
      <c r="U87" s="2" t="inlineStr">
        <is>
          <t>sim</t>
        </is>
      </c>
      <c r="V87" s="2" t="inlineStr">
        <is>
          <t>CHAVE FUSIVEL/RELIGADORA</t>
        </is>
      </c>
      <c r="W87" s="2" t="inlineStr">
        <is>
          <t>PORTA-FUSIVEL DANIFICADO</t>
        </is>
      </c>
      <c r="X87" s="2" t="inlineStr">
        <is>
          <t>CHAVE FUSIVEL/RELIGADORA</t>
        </is>
      </c>
      <c r="Y87" s="2" t="inlineStr">
        <is>
          <t>PORTA-FUSIVEL DANIFICADO</t>
        </is>
      </c>
      <c r="Z87" s="4" t="inlineStr">
        <is>
          <t>SIM</t>
        </is>
      </c>
      <c r="AA87" s="4" t="inlineStr">
        <is>
          <t>leitura caso a caso</t>
        </is>
      </c>
      <c r="AB87" s="4"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AC87" s="2" t="inlineStr">
        <is>
          <t>Trafo 5701086022 Queimado Potencia: 15 KVATensão: 34,5 KVPara raio: Queimado Acesso: livreEquipe: 022op02 (63)99255-6152Obs.: leva porta fusivel</t>
        </is>
      </c>
      <c r="AD87" s="2"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88" ht="90" customHeight="1">
      <c r="A88" s="2" t="inlineStr">
        <is>
          <t>ETO-RD-AR 00742/2026</t>
        </is>
      </c>
      <c r="B88" s="2" t="inlineStr">
        <is>
          <t>abr</t>
        </is>
      </c>
      <c r="C88" s="3" t="inlineStr">
        <is>
          <t>Sem interrupção comprovada</t>
        </is>
      </c>
      <c r="D88" s="2" t="inlineStr">
        <is>
          <t>Sem interrupção</t>
        </is>
      </c>
      <c r="E88" s="2" t="inlineStr">
        <is>
          <t>EXPURGO</t>
        </is>
      </c>
      <c r="F88" s="2" t="inlineStr">
        <is>
          <t>AVARIADO</t>
        </is>
      </c>
      <c r="G88" s="2" t="inlineStr">
        <is>
          <t>esteira 1.582</t>
        </is>
      </c>
      <c r="H88" s="2" t="inlineStr">
        <is>
          <t>AUSENTE DA CRÍTICA</t>
        </is>
      </c>
      <c r="I88" s="2" t="n">
        <v>5710274030</v>
      </c>
      <c r="J88" s="2" t="inlineStr">
        <is>
          <t>ENC-MLAR02  000087/2026</t>
        </is>
      </c>
      <c r="K88" s="2" t="n">
        <v>612600446</v>
      </c>
      <c r="L88" s="2" t="inlineStr">
        <is>
          <t>2026-04-25 18:08</t>
        </is>
      </c>
      <c r="M88" s="2" t="inlineStr">
        <is>
          <t>2026-04-26 14:40</t>
        </is>
      </c>
      <c r="N88" s="2" t="inlineStr">
        <is>
          <t>FORMS SUBST DE TRANSFORMADOR</t>
        </is>
      </c>
      <c r="O88" s="2" t="inlineStr">
        <is>
          <t>ETO-RD-AR</t>
        </is>
      </c>
      <c r="P88" s="2" t="inlineStr">
        <is>
          <t>XAMBIOA</t>
        </is>
      </c>
      <c r="Q88" s="2" t="inlineStr">
        <is>
          <t>AVARIADO</t>
        </is>
      </c>
      <c r="R88" s="2" t="inlineStr">
        <is>
          <t>VAZAMENTO DE ÓLEO</t>
        </is>
      </c>
      <c r="S88" s="2" t="inlineStr">
        <is>
          <t>392354</t>
        </is>
      </c>
      <c r="T88" s="2" t="n">
        <v>822891</v>
      </c>
      <c r="U88" s="2" t="inlineStr">
        <is>
          <t>sim</t>
        </is>
      </c>
      <c r="V88" s="2" t="n"/>
      <c r="W88" s="2" t="n"/>
      <c r="X88" s="2" t="n"/>
      <c r="Y88" s="2" t="n"/>
      <c r="Z88" s="4" t="inlineStr">
        <is>
          <t>SIM</t>
        </is>
      </c>
      <c r="AA88" s="4" t="inlineStr">
        <is>
          <t>leitura caso a caso</t>
        </is>
      </c>
      <c r="AB88"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8" s="2" t="inlineStr">
        <is>
          <t>5710274030 transformador,esta com vazamento de óleo. Mas sem interrupção de Energia. 5 kVA. da 19.9 Local de livre acesso para caminhonete. Para raios bom</t>
        </is>
      </c>
      <c r="AD88" s="2" t="inlineStr">
        <is>
          <t xml:space="preserve">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 
</t>
        </is>
      </c>
    </row>
    <row r="89" ht="45" customHeight="1">
      <c r="A89" s="2" t="inlineStr">
        <is>
          <t>ETO-RD-AR 00763/2026</t>
        </is>
      </c>
      <c r="B89" s="2" t="inlineStr">
        <is>
          <t>abr</t>
        </is>
      </c>
      <c r="C89" s="3" t="inlineStr">
        <is>
          <t>Sem interrupção comprovada</t>
        </is>
      </c>
      <c r="D89" s="2" t="inlineStr">
        <is>
          <t>Sem interrupção</t>
        </is>
      </c>
      <c r="E89" s="2" t="inlineStr">
        <is>
          <t>EXPURGO</t>
        </is>
      </c>
      <c r="F89" s="2" t="inlineStr">
        <is>
          <t>QUEIMADO</t>
        </is>
      </c>
      <c r="G89" s="2" t="inlineStr">
        <is>
          <t>esteira 1.582</t>
        </is>
      </c>
      <c r="H89" s="2" t="inlineStr">
        <is>
          <t>AUSENTE DA CRÍTICA</t>
        </is>
      </c>
      <c r="I89" s="2" t="n">
        <v>5710235080</v>
      </c>
      <c r="J89" s="2" t="inlineStr">
        <is>
          <t>ENC-MPAR01  000046/2026</t>
        </is>
      </c>
      <c r="K89" s="2" t="n">
        <v>612600464</v>
      </c>
      <c r="L89" s="2" t="inlineStr">
        <is>
          <t>2026-04-29 08:53</t>
        </is>
      </c>
      <c r="M89" s="2" t="inlineStr">
        <is>
          <t>2026-04-28 15:50</t>
        </is>
      </c>
      <c r="N89" s="2" t="inlineStr">
        <is>
          <t>AVISO DE ANOMALIA</t>
        </is>
      </c>
      <c r="O89" s="2" t="inlineStr">
        <is>
          <t>ETO-RD-AR</t>
        </is>
      </c>
      <c r="P89" s="2" t="inlineStr">
        <is>
          <t>DARCINOPOLIS</t>
        </is>
      </c>
      <c r="Q89" s="2" t="inlineStr">
        <is>
          <t>QUEIMADO</t>
        </is>
      </c>
      <c r="R89" s="2" t="inlineStr">
        <is>
          <t>DESCARGA ATMOSFÉRICA</t>
        </is>
      </c>
      <c r="S89" s="2" t="inlineStr">
        <is>
          <t>690163</t>
        </is>
      </c>
      <c r="T89" s="2" t="n">
        <v>822876</v>
      </c>
      <c r="U89" s="2" t="inlineStr">
        <is>
          <t>sim</t>
        </is>
      </c>
      <c r="V89" s="2" t="n"/>
      <c r="W89" s="2" t="n"/>
      <c r="X89" s="2" t="n"/>
      <c r="Y89" s="2" t="n"/>
      <c r="Z89" s="4" t="inlineStr">
        <is>
          <t>não</t>
        </is>
      </c>
      <c r="AA89" s="4" t="inlineStr">
        <is>
          <t>leitura caso a caso</t>
        </is>
      </c>
      <c r="AB89" s="4" t="inlineStr">
        <is>
          <t>Fora do indicador: o ativo não existe na base de interrupção. Sem registro de interrupção não há evento a medir.</t>
        </is>
      </c>
      <c r="AC89" s="2" t="inlineStr">
        <is>
          <t>NOTA ABERTA PARA CORREÇÃO DA SS 751/2026 POIS O TRAFO QUE ESTAVA QUEIMADO E O 5710235080</t>
        </is>
      </c>
      <c r="AD89" s="2" t="inlineStr">
        <is>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is>
      </c>
    </row>
    <row r="90" ht="45" customHeight="1">
      <c r="A90" s="2" t="inlineStr">
        <is>
          <t>ETO-RD-AR 00773/2026</t>
        </is>
      </c>
      <c r="B90" s="2" t="inlineStr">
        <is>
          <t>abr</t>
        </is>
      </c>
      <c r="C90" s="3" t="inlineStr">
        <is>
          <t>Sem interrupção comprovada</t>
        </is>
      </c>
      <c r="D90" s="2" t="inlineStr">
        <is>
          <t>Sem interrupção</t>
        </is>
      </c>
      <c r="E90" s="2" t="inlineStr">
        <is>
          <t>EXPURGO</t>
        </is>
      </c>
      <c r="F90" s="2" t="inlineStr">
        <is>
          <t>QUEIMADO</t>
        </is>
      </c>
      <c r="G90" s="2" t="inlineStr">
        <is>
          <t>esteira 1.582</t>
        </is>
      </c>
      <c r="H90" s="2" t="inlineStr">
        <is>
          <t>AUSENTE DA CRÍTICA</t>
        </is>
      </c>
      <c r="I90" s="2" t="n">
        <v>5700290030</v>
      </c>
      <c r="J90" s="2" t="inlineStr">
        <is>
          <t>ENC-MLAR05  000206/2026</t>
        </is>
      </c>
      <c r="K90" s="2" t="n">
        <v>612600472</v>
      </c>
      <c r="L90" s="2" t="inlineStr">
        <is>
          <t>2026-04-29 18:02</t>
        </is>
      </c>
      <c r="M90" s="2" t="inlineStr">
        <is>
          <t>2026-04-30 15:53</t>
        </is>
      </c>
      <c r="N90" s="2" t="inlineStr">
        <is>
          <t>FORMS SUBST DE TRANSFORMADOR</t>
        </is>
      </c>
      <c r="O90" s="2" t="inlineStr">
        <is>
          <t>ETO-RD-AR</t>
        </is>
      </c>
      <c r="P90" s="2" t="inlineStr">
        <is>
          <t>PIRAQUE</t>
        </is>
      </c>
      <c r="Q90" s="2" t="inlineStr">
        <is>
          <t>QUEIMADO</t>
        </is>
      </c>
      <c r="R90" s="2" t="inlineStr">
        <is>
          <t>SOBRECARGA</t>
        </is>
      </c>
      <c r="S90" s="2" t="inlineStr">
        <is>
          <t>185261</t>
        </is>
      </c>
      <c r="T90" s="2" t="n">
        <v>822886</v>
      </c>
      <c r="U90" s="2" t="inlineStr">
        <is>
          <t>sim</t>
        </is>
      </c>
      <c r="V90" s="2" t="n"/>
      <c r="W90" s="2" t="n"/>
      <c r="X90" s="2" t="n"/>
      <c r="Y90" s="2" t="n"/>
      <c r="Z90" s="4" t="inlineStr">
        <is>
          <t>SIM</t>
        </is>
      </c>
      <c r="AA90" s="4" t="inlineStr">
        <is>
          <t>leitura caso a caso</t>
        </is>
      </c>
      <c r="AB90" s="4" t="inlineStr">
        <is>
          <t>Fora do indicador: o ativo não existe na base de interrupção. Sem registro de interrupção não há evento a medir.</t>
        </is>
      </c>
      <c r="AC90" s="2" t="inlineStr">
        <is>
          <t>TRAFO QUEIMADO 5700920030POTENCIA: 5KVATENSÃO: 34,5KVACESSO BOM.PARA-RAIO QUEIMADO.FAZ. MORENA 1</t>
        </is>
      </c>
      <c r="AD90" s="2" t="inlineStr">
        <is>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is>
      </c>
    </row>
    <row r="91" ht="75" customHeight="1">
      <c r="A91" s="2" t="inlineStr">
        <is>
          <t>ETO-RD-AR 00775/2026</t>
        </is>
      </c>
      <c r="B91" s="2" t="inlineStr">
        <is>
          <t>abr</t>
        </is>
      </c>
      <c r="C91" s="3" t="inlineStr">
        <is>
          <t>Sem interrupção comprovada</t>
        </is>
      </c>
      <c r="D91" s="2" t="inlineStr">
        <is>
          <t>Sem interrupção</t>
        </is>
      </c>
      <c r="E91" s="2" t="inlineStr">
        <is>
          <t>EXPURGO</t>
        </is>
      </c>
      <c r="F91" s="2" t="inlineStr">
        <is>
          <t>QUEIMADO</t>
        </is>
      </c>
      <c r="G91" s="2" t="inlineStr">
        <is>
          <t>esteira 1.582</t>
        </is>
      </c>
      <c r="H91" s="2" t="inlineStr">
        <is>
          <t>AUSENTE DA CRÍTICA</t>
        </is>
      </c>
      <c r="I91" s="2" t="n">
        <v>5700702019</v>
      </c>
      <c r="J91" s="2" t="inlineStr">
        <is>
          <t>ENC-MLAR02  000091/2026</t>
        </is>
      </c>
      <c r="K91" s="2" t="n">
        <v>612600471</v>
      </c>
      <c r="L91" s="2" t="inlineStr">
        <is>
          <t>2026-04-30 11:15</t>
        </is>
      </c>
      <c r="M91" s="2" t="inlineStr">
        <is>
          <t>2026-04-30 18:12</t>
        </is>
      </c>
      <c r="N91" s="2" t="inlineStr">
        <is>
          <t>FORMS SUBST DE TRANSFORMADOR</t>
        </is>
      </c>
      <c r="O91" s="2" t="inlineStr">
        <is>
          <t>ETO-RD-AR</t>
        </is>
      </c>
      <c r="P91" s="2" t="inlineStr">
        <is>
          <t>FILADELFIA</t>
        </is>
      </c>
      <c r="Q91" s="2" t="inlineStr">
        <is>
          <t>QUEIMADO</t>
        </is>
      </c>
      <c r="R91" s="2" t="inlineStr">
        <is>
          <t>VAZAMENTO DE ÓLEO</t>
        </is>
      </c>
      <c r="S91" s="2" t="inlineStr">
        <is>
          <t>126189</t>
        </is>
      </c>
      <c r="T91" s="2" t="n">
        <v>799422</v>
      </c>
      <c r="U91" s="2" t="inlineStr">
        <is>
          <t>sim</t>
        </is>
      </c>
      <c r="V91" s="2" t="n"/>
      <c r="W91" s="2" t="n"/>
      <c r="X91" s="2" t="n"/>
      <c r="Y91" s="2" t="n"/>
      <c r="Z91" s="4" t="inlineStr">
        <is>
          <t>SIM</t>
        </is>
      </c>
      <c r="AA91" s="4" t="inlineStr">
        <is>
          <t>leitura caso a caso</t>
        </is>
      </c>
      <c r="AB91" s="4" t="inlineStr">
        <is>
          <t>Fora do indicador: o código não aparece na Crítica em papel nenhum — nem com defeito, nem interrompido, nem manobrado — nos sete meses do acervo; nem o teste do vizinho achou explicação.</t>
        </is>
      </c>
      <c r="AC91" s="2" t="inlineStr">
        <is>
          <t>Trafo 5700702019 15kvaAcesso: Livre Equipe:019op02Contato da equipe : 99242-6260</t>
        </is>
      </c>
      <c r="AD91" s="2" t="inlineStr">
        <is>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is>
      </c>
    </row>
    <row r="92" ht="90" customHeight="1">
      <c r="A92" s="2" t="inlineStr">
        <is>
          <t>ETO-RD-DP 00248/2026</t>
        </is>
      </c>
      <c r="B92" s="2" t="inlineStr">
        <is>
          <t>abr</t>
        </is>
      </c>
      <c r="C92" s="3" t="inlineStr">
        <is>
          <t>Sem interrupção comprovada</t>
        </is>
      </c>
      <c r="D92" s="2" t="inlineStr">
        <is>
          <t>Sem interrupção</t>
        </is>
      </c>
      <c r="E92" s="2" t="inlineStr">
        <is>
          <t>EXPURGO</t>
        </is>
      </c>
      <c r="F92" s="2" t="inlineStr">
        <is>
          <t>QUEIMADO</t>
        </is>
      </c>
      <c r="G92" s="2" t="inlineStr">
        <is>
          <t>esteira 1.582</t>
        </is>
      </c>
      <c r="H92" s="2" t="inlineStr">
        <is>
          <t>AUSENTE DA CRÍTICA</t>
        </is>
      </c>
      <c r="I92" s="2" t="n">
        <v>5700456038</v>
      </c>
      <c r="J92" s="2" t="inlineStr">
        <is>
          <t>ETO-RD-DP  000760/2026</t>
        </is>
      </c>
      <c r="K92" s="2" t="n">
        <v>512600133</v>
      </c>
      <c r="L92" s="2" t="inlineStr">
        <is>
          <t>2026-04-19 12:14</t>
        </is>
      </c>
      <c r="M92" s="2" t="inlineStr">
        <is>
          <t>2026-04-24 12:22</t>
        </is>
      </c>
      <c r="N92" s="2" t="inlineStr">
        <is>
          <t>FORMS SUBST DE TRANSFORMADOR</t>
        </is>
      </c>
      <c r="O92" s="2" t="inlineStr">
        <is>
          <t>ETO-RD-DP</t>
        </is>
      </c>
      <c r="P92" s="2" t="inlineStr">
        <is>
          <t>TAGUATINGA</t>
        </is>
      </c>
      <c r="Q92" s="2" t="inlineStr">
        <is>
          <t>AVARIADO</t>
        </is>
      </c>
      <c r="R92" s="2" t="inlineStr">
        <is>
          <t>BUCHA DANIFICADA</t>
        </is>
      </c>
      <c r="S92" s="2" t="inlineStr">
        <is>
          <t>180034</t>
        </is>
      </c>
      <c r="T92" s="2" t="n">
        <v>820162</v>
      </c>
      <c r="U92" s="2" t="inlineStr">
        <is>
          <t>sim</t>
        </is>
      </c>
      <c r="V92" s="2" t="inlineStr">
        <is>
          <t>MEIO AMBIENTE</t>
        </is>
      </c>
      <c r="W92" s="2" t="inlineStr">
        <is>
          <t>DESCARGA ATMOSFERICA</t>
        </is>
      </c>
      <c r="X92" s="2" t="n"/>
      <c r="Y92" s="2" t="n"/>
      <c r="Z92" s="4" t="inlineStr">
        <is>
          <t>SIM</t>
        </is>
      </c>
      <c r="AA92" s="4" t="inlineStr">
        <is>
          <t>leitura caso a caso</t>
        </is>
      </c>
      <c r="AB92"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2" s="2" t="inlineStr">
        <is>
          <t>trafo e para raio queimado 5700456038 15kva 19.9kv faz.oriente rdr de taguatinga equipe 038op01</t>
        </is>
      </c>
      <c r="AD92" s="2" t="inlineStr">
        <is>
          <t>Atendida pela equipe ETO ML DP 02</t>
        </is>
      </c>
    </row>
    <row r="93" ht="75" customHeight="1">
      <c r="A93" s="2" t="inlineStr">
        <is>
          <t>ETO-RD-GR 00400/2026</t>
        </is>
      </c>
      <c r="B93" s="2" t="inlineStr">
        <is>
          <t>abr</t>
        </is>
      </c>
      <c r="C93" s="3" t="inlineStr">
        <is>
          <t>Sem interrupção comprovada</t>
        </is>
      </c>
      <c r="D93" s="2" t="inlineStr">
        <is>
          <t>Sem interrupção</t>
        </is>
      </c>
      <c r="E93" s="2" t="inlineStr">
        <is>
          <t>EXPURGO</t>
        </is>
      </c>
      <c r="F93" s="2" t="inlineStr">
        <is>
          <t>QUEIMADO</t>
        </is>
      </c>
      <c r="G93" s="2" t="inlineStr">
        <is>
          <t>esteira 1.582</t>
        </is>
      </c>
      <c r="H93" s="2" t="inlineStr">
        <is>
          <t>AUSENTE DA CRÍTICA</t>
        </is>
      </c>
      <c r="I93" s="2" t="n">
        <v>5700214066</v>
      </c>
      <c r="J93" s="2" t="inlineStr">
        <is>
          <t>ENC-MPGR01  000062/2026</t>
        </is>
      </c>
      <c r="K93" s="2" t="n">
        <v>712600282</v>
      </c>
      <c r="L93" s="2" t="inlineStr">
        <is>
          <t>2026-04-03 10:19</t>
        </is>
      </c>
      <c r="M93" s="2" t="inlineStr">
        <is>
          <t>2026-04-03 21:05</t>
        </is>
      </c>
      <c r="N93" s="2" t="inlineStr">
        <is>
          <t>FORMS SUBST DE TRANSFORMADOR</t>
        </is>
      </c>
      <c r="O93" s="2" t="inlineStr">
        <is>
          <t>ETO-RD-GR</t>
        </is>
      </c>
      <c r="P93" s="2" t="inlineStr">
        <is>
          <t>TUPIRATINS</t>
        </is>
      </c>
      <c r="Q93" s="2" t="inlineStr">
        <is>
          <t>QUEIMADO</t>
        </is>
      </c>
      <c r="R93" s="2" t="inlineStr">
        <is>
          <t>DESCARGA ATMOSFÉRICA</t>
        </is>
      </c>
      <c r="S93" s="2" t="inlineStr">
        <is>
          <t>389793</t>
        </is>
      </c>
      <c r="T93" s="2" t="n">
        <v>828102</v>
      </c>
      <c r="U93" s="2" t="inlineStr">
        <is>
          <t>sim</t>
        </is>
      </c>
      <c r="V93" s="2" t="n"/>
      <c r="W93" s="2" t="n"/>
      <c r="X93" s="2" t="n"/>
      <c r="Y93" s="2" t="n"/>
      <c r="Z93" s="4" t="inlineStr">
        <is>
          <t>não</t>
        </is>
      </c>
      <c r="AA93" s="4" t="inlineStr">
        <is>
          <t>leitura caso a caso</t>
        </is>
      </c>
      <c r="AB93" s="4" t="inlineStr">
        <is>
          <t>Fora do indicador: o código não aparece na Crítica em papel nenhum — nem com defeito, nem interrompido, nem manobrado — nos sete meses do acervo; nem o teste do vizinho achou explicação.</t>
        </is>
      </c>
      <c r="AC93" s="2" t="inlineStr">
        <is>
          <t>acionar equipe de manutencao para troca do poste e transformador no RDR de [0066] TUPIRATINStrafo 5700214066poste 10-300 id.: 49935819  estrutura u3-Tequipe 034op03</t>
        </is>
      </c>
      <c r="AD93" s="2" t="inlineStr">
        <is>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is>
      </c>
    </row>
    <row r="94" ht="45" customHeight="1">
      <c r="A94" s="2" t="inlineStr">
        <is>
          <t>ETO-RD-GU 00440/2026</t>
        </is>
      </c>
      <c r="B94" s="2" t="inlineStr">
        <is>
          <t>abr</t>
        </is>
      </c>
      <c r="C94" s="3" t="inlineStr">
        <is>
          <t>Sem interrupção comprovada</t>
        </is>
      </c>
      <c r="D94" s="2" t="inlineStr">
        <is>
          <t>Sem interrupção</t>
        </is>
      </c>
      <c r="E94" s="2" t="inlineStr">
        <is>
          <t>EXPURGO</t>
        </is>
      </c>
      <c r="F94" s="2" t="inlineStr">
        <is>
          <t>QUEIMADO</t>
        </is>
      </c>
      <c r="G94" s="2" t="inlineStr">
        <is>
          <t>esteira 1.582</t>
        </is>
      </c>
      <c r="H94" s="2" t="inlineStr">
        <is>
          <t>AUSENTE DA CRÍTICA</t>
        </is>
      </c>
      <c r="I94" s="2" t="n">
        <v>5700284148</v>
      </c>
      <c r="J94" s="2" t="inlineStr">
        <is>
          <t>DBM-MLDB05  000086/2026</t>
        </is>
      </c>
      <c r="K94" s="2" t="n">
        <v>412600378</v>
      </c>
      <c r="L94" s="2" t="inlineStr">
        <is>
          <t>2026-04-07 18:19</t>
        </is>
      </c>
      <c r="M94" s="2" t="inlineStr">
        <is>
          <t>2026-04-08 20:00</t>
        </is>
      </c>
      <c r="N94" s="2" t="inlineStr">
        <is>
          <t>FORMS SUBST DE TRANSFORMADOR</t>
        </is>
      </c>
      <c r="O94" s="2" t="inlineStr">
        <is>
          <t>ETO-RD-GU</t>
        </is>
      </c>
      <c r="P94" s="2" t="inlineStr">
        <is>
          <t>SAO VALERIO</t>
        </is>
      </c>
      <c r="Q94" s="2" t="inlineStr">
        <is>
          <t>SOBRECARGA PREVENTIVA</t>
        </is>
      </c>
      <c r="R94" s="2" t="inlineStr">
        <is>
          <t>NÃO IDENTIFICADO</t>
        </is>
      </c>
      <c r="S94" s="2" t="inlineStr">
        <is>
          <t>1025954</t>
        </is>
      </c>
      <c r="T94" s="2" t="n">
        <v>827970</v>
      </c>
      <c r="U94" s="2" t="inlineStr">
        <is>
          <t>sim</t>
        </is>
      </c>
      <c r="V94" s="2" t="n"/>
      <c r="W94" s="2" t="n"/>
      <c r="X94" s="2" t="n"/>
      <c r="Y94" s="2" t="n"/>
      <c r="Z94" s="4" t="inlineStr">
        <is>
          <t>não</t>
        </is>
      </c>
      <c r="AA94" s="4" t="inlineStr">
        <is>
          <t>leitura caso a caso</t>
        </is>
      </c>
      <c r="AB94" s="4" t="inlineStr">
        <is>
          <t>Fora do indicador: o ativo não existe na base de interrupção. Sem registro de interrupção não há evento a medir.</t>
        </is>
      </c>
      <c r="AC94" s="2" t="inlineStr">
        <is>
          <t>SEGUE SS DE TRAFO QUEIMADO NA RDR DE SAO VALERIO, TRAFO DE 15KVA NA REDE DE 19.9KV, TRAFO E PARARAIO QUEIMADO, ACESSO LIVRE PARA CAMINHONETE.</t>
        </is>
      </c>
      <c r="AD94" s="2" t="inlineStr">
        <is>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is>
      </c>
    </row>
    <row r="95" ht="45" customHeight="1">
      <c r="A95" s="2" t="inlineStr">
        <is>
          <t>DOLP-RD-PA 00552/2026</t>
        </is>
      </c>
      <c r="B95" s="2" t="inlineStr">
        <is>
          <t>mai</t>
        </is>
      </c>
      <c r="C95" s="3" t="inlineStr">
        <is>
          <t>Sem interrupção comprovada</t>
        </is>
      </c>
      <c r="D95" s="2" t="inlineStr">
        <is>
          <t>Sem interrupção</t>
        </is>
      </c>
      <c r="E95" s="2" t="inlineStr">
        <is>
          <t>EXPURGO</t>
        </is>
      </c>
      <c r="F95" s="2" t="inlineStr">
        <is>
          <t>QUEIMADO</t>
        </is>
      </c>
      <c r="G95" s="2" t="inlineStr">
        <is>
          <t>esteira 1.582</t>
        </is>
      </c>
      <c r="H95" s="2" t="inlineStr">
        <is>
          <t>AUSENTE DA CRÍTICA</t>
        </is>
      </c>
      <c r="I95" s="2" t="n">
        <v>5365343122</v>
      </c>
      <c r="J95" s="2" t="inlineStr">
        <is>
          <t>DLP-MLPA01  000157/2026</t>
        </is>
      </c>
      <c r="K95" s="2" t="n">
        <v>112600511</v>
      </c>
      <c r="L95" s="2" t="inlineStr">
        <is>
          <t>2026-05-12 17:38</t>
        </is>
      </c>
      <c r="M95" s="2" t="inlineStr">
        <is>
          <t>2026-05-13 18:00</t>
        </is>
      </c>
      <c r="N95" s="2" t="inlineStr">
        <is>
          <t>FORMS SUBST DE TRANSFORMADOR</t>
        </is>
      </c>
      <c r="O95" s="2" t="inlineStr">
        <is>
          <t>DOLP-RD-PA</t>
        </is>
      </c>
      <c r="P95" s="2" t="inlineStr">
        <is>
          <t>PALMAS</t>
        </is>
      </c>
      <c r="Q95" s="2" t="n"/>
      <c r="R95" s="2" t="n"/>
      <c r="S95" s="2" t="inlineStr">
        <is>
          <t>1600171</t>
        </is>
      </c>
      <c r="T95" s="2" t="n">
        <v>299975</v>
      </c>
      <c r="U95" s="2" t="inlineStr">
        <is>
          <t>sim</t>
        </is>
      </c>
      <c r="V95" s="2" t="n"/>
      <c r="W95" s="2" t="n"/>
      <c r="X95" s="2" t="n"/>
      <c r="Y95" s="2" t="n"/>
      <c r="Z95" s="4" t="inlineStr">
        <is>
          <t>SIM</t>
        </is>
      </c>
      <c r="AA95" s="4" t="inlineStr">
        <is>
          <t>leitura caso a caso</t>
        </is>
      </c>
      <c r="AB95" s="4" t="inlineStr">
        <is>
          <t>Fora do indicador: o ativo não existe na base de interrupção. Sem registro de interrupção não há evento a medir.</t>
        </is>
      </c>
      <c r="AC95" s="2" t="inlineStr">
        <is>
          <t>segue ss de 01 trafo de 25 kvar e 01 para raio queimado da rede de 13.800kv e para raio queimado para ser subistituido pela equipe de manutencão  acesso livre equipe que atendeu 059op14 cel,  63992432595/985159679 chave de referencia, 5365343122</t>
        </is>
      </c>
      <c r="AD95" s="2"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t>
        </is>
      </c>
    </row>
    <row r="96" ht="90" customHeight="1">
      <c r="A96" s="2" t="inlineStr">
        <is>
          <t>DOLP-RD-PA 00588/2026</t>
        </is>
      </c>
      <c r="B96" s="2" t="inlineStr">
        <is>
          <t>mai</t>
        </is>
      </c>
      <c r="C96" s="3" t="inlineStr">
        <is>
          <t>Sem interrupção comprovada</t>
        </is>
      </c>
      <c r="D96" s="2" t="inlineStr">
        <is>
          <t>Sem interrupção</t>
        </is>
      </c>
      <c r="E96" s="2" t="inlineStr">
        <is>
          <t>EXPURGO</t>
        </is>
      </c>
      <c r="F96" s="2" t="inlineStr">
        <is>
          <t>QUEIMADO</t>
        </is>
      </c>
      <c r="G96" s="2" t="inlineStr">
        <is>
          <t>esteira 1.582</t>
        </is>
      </c>
      <c r="H96" s="2" t="inlineStr">
        <is>
          <t>AUSENTE DA CRÍTICA</t>
        </is>
      </c>
      <c r="I96" s="2" t="n">
        <v>5761649196</v>
      </c>
      <c r="J96" s="2" t="inlineStr">
        <is>
          <t>DLP-CTPA01  000043/2026</t>
        </is>
      </c>
      <c r="K96" s="2" t="n">
        <v>112600559</v>
      </c>
      <c r="L96" s="2" t="inlineStr">
        <is>
          <t>2026-05-24 00:11</t>
        </is>
      </c>
      <c r="M96" s="2" t="inlineStr">
        <is>
          <t>2026-05-24 18:00</t>
        </is>
      </c>
      <c r="N96" s="2" t="inlineStr">
        <is>
          <t>FORMS SUBST DE TRANSFORMADOR</t>
        </is>
      </c>
      <c r="O96" s="2" t="inlineStr">
        <is>
          <t>DOLP-RD-PA</t>
        </is>
      </c>
      <c r="P96" s="2" t="inlineStr">
        <is>
          <t>LAGOA DO TOCANTINS</t>
        </is>
      </c>
      <c r="Q96" s="2" t="inlineStr">
        <is>
          <t>QUEIMADO</t>
        </is>
      </c>
      <c r="R96" s="2" t="inlineStr">
        <is>
          <t>NÃO IDENTIFICADO</t>
        </is>
      </c>
      <c r="S96" s="2" t="inlineStr">
        <is>
          <t>0</t>
        </is>
      </c>
      <c r="T96" s="2" t="n">
        <v>0</v>
      </c>
      <c r="U96" s="2" t="inlineStr">
        <is>
          <t>não</t>
        </is>
      </c>
      <c r="V96" s="2" t="inlineStr">
        <is>
          <t>TRANSFORMADOR</t>
        </is>
      </c>
      <c r="W96" s="2" t="inlineStr">
        <is>
          <t>QUEIMADO POR CAUSA NAO IDENTIFICADA</t>
        </is>
      </c>
      <c r="X96" s="2" t="n"/>
      <c r="Y96" s="2" t="n"/>
      <c r="Z96" s="4" t="inlineStr">
        <is>
          <t>SIM</t>
        </is>
      </c>
      <c r="AA96" s="4" t="inlineStr">
        <is>
          <t>leitura caso a caso</t>
        </is>
      </c>
      <c r="AB9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6" s="2" t="inlineStr">
        <is>
          <t>TRAFO QUEIMADO</t>
        </is>
      </c>
      <c r="AD96" s="2" t="inlineStr">
        <is>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is>
      </c>
    </row>
    <row r="97" ht="45" customHeight="1">
      <c r="A97" s="2" t="inlineStr">
        <is>
          <t>ETO-RD-AG 00489/2026</t>
        </is>
      </c>
      <c r="B97" s="2" t="inlineStr">
        <is>
          <t>mai</t>
        </is>
      </c>
      <c r="C97" s="3" t="inlineStr">
        <is>
          <t>Sem interrupção comprovada</t>
        </is>
      </c>
      <c r="D97" s="2" t="inlineStr">
        <is>
          <t>Sem interrupção</t>
        </is>
      </c>
      <c r="E97" s="2" t="inlineStr">
        <is>
          <t>EXPURGO</t>
        </is>
      </c>
      <c r="F97" s="2" t="inlineStr">
        <is>
          <t>QUEIMADO</t>
        </is>
      </c>
      <c r="G97" s="2" t="inlineStr">
        <is>
          <t>esteira 1.582</t>
        </is>
      </c>
      <c r="H97" s="2" t="inlineStr">
        <is>
          <t>AUSENTE DA CRÍTICA</t>
        </is>
      </c>
      <c r="I97" s="2" t="n">
        <v>5701350103</v>
      </c>
      <c r="J97" s="2" t="inlineStr">
        <is>
          <t>ENC-MLAG01  000121/2026</t>
        </is>
      </c>
      <c r="K97" s="2" t="n">
        <v>662600297</v>
      </c>
      <c r="L97" s="2" t="inlineStr">
        <is>
          <t>2026-05-08 12:16</t>
        </is>
      </c>
      <c r="M97" s="2" t="inlineStr">
        <is>
          <t>2026-05-11 08:35</t>
        </is>
      </c>
      <c r="N97" s="2" t="inlineStr">
        <is>
          <t>FORMS SUBST DE TRANSFORMADOR</t>
        </is>
      </c>
      <c r="O97" s="2" t="inlineStr">
        <is>
          <t>ETO-RD-AG</t>
        </is>
      </c>
      <c r="P97" s="2" t="inlineStr">
        <is>
          <t>SAO MIGUEL DO TOCANTINS</t>
        </is>
      </c>
      <c r="Q97" s="2" t="inlineStr">
        <is>
          <t>AVARIADO</t>
        </is>
      </c>
      <c r="R97" s="2" t="inlineStr">
        <is>
          <t>BUCHA DANIFICADA</t>
        </is>
      </c>
      <c r="S97" s="2" t="inlineStr">
        <is>
          <t>184716</t>
        </is>
      </c>
      <c r="T97" s="2" t="n">
        <v>828146</v>
      </c>
      <c r="U97" s="2" t="inlineStr">
        <is>
          <t>sim</t>
        </is>
      </c>
      <c r="V97" s="2" t="n"/>
      <c r="W97" s="2" t="n"/>
      <c r="X97" s="2" t="n"/>
      <c r="Y97" s="2" t="n"/>
      <c r="Z97" s="4" t="inlineStr">
        <is>
          <t>SIM</t>
        </is>
      </c>
      <c r="AA97" s="4" t="inlineStr">
        <is>
          <t>leitura caso a caso</t>
        </is>
      </c>
      <c r="AB97" s="4" t="inlineStr">
        <is>
          <t>Fora do indicador: o ativo não existe na base de interrupção. Sem registro de interrupção não há evento a medir.</t>
        </is>
      </c>
      <c r="AC97" s="2" t="inlineStr">
        <is>
          <t>Segue SS de transformador 5701350103 Queimado Potencia 10 KVA Tensão: 19.9 KVAcesso livre Fazenda Jangada. Assentamento Camarão II</t>
        </is>
      </c>
      <c r="AD97" s="2"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98" ht="45" customHeight="1">
      <c r="A98" s="2" t="inlineStr">
        <is>
          <t>ETO-RD-AG 00508/2026</t>
        </is>
      </c>
      <c r="B98" s="2" t="inlineStr">
        <is>
          <t>mai</t>
        </is>
      </c>
      <c r="C98" s="3" t="inlineStr">
        <is>
          <t>Sem interrupção comprovada</t>
        </is>
      </c>
      <c r="D98" s="2" t="inlineStr">
        <is>
          <t>Sem interrupção</t>
        </is>
      </c>
      <c r="E98" s="2" t="inlineStr">
        <is>
          <t>EXPURGO</t>
        </is>
      </c>
      <c r="F98" s="2" t="inlineStr">
        <is>
          <t>QUEIMADO</t>
        </is>
      </c>
      <c r="G98" s="2" t="inlineStr">
        <is>
          <t>esteira 1.582</t>
        </is>
      </c>
      <c r="H98" s="2" t="inlineStr">
        <is>
          <t>AUSENTE DA CRÍTICA</t>
        </is>
      </c>
      <c r="I98" s="2" t="n">
        <v>5701508039</v>
      </c>
      <c r="J98" s="2" t="inlineStr">
        <is>
          <t>ENC-MLAG01  000127/2026</t>
        </is>
      </c>
      <c r="K98" s="2" t="n">
        <v>662600315</v>
      </c>
      <c r="L98" s="2" t="inlineStr">
        <is>
          <t>2026-05-15 13:32</t>
        </is>
      </c>
      <c r="M98" s="2" t="inlineStr">
        <is>
          <t>2026-05-16 23:48</t>
        </is>
      </c>
      <c r="N98" s="2" t="inlineStr">
        <is>
          <t>FORMS SUBST DE TRANSFORMADOR</t>
        </is>
      </c>
      <c r="O98" s="2" t="inlineStr">
        <is>
          <t>ETO-RD-AG</t>
        </is>
      </c>
      <c r="P98" s="2" t="inlineStr">
        <is>
          <t>ARAGUATINS</t>
        </is>
      </c>
      <c r="Q98" s="2" t="inlineStr">
        <is>
          <t>QUEIMADO</t>
        </is>
      </c>
      <c r="R98" s="2" t="inlineStr">
        <is>
          <t>DESCARGA ATMOSFÉRICA</t>
        </is>
      </c>
      <c r="S98" s="2" t="inlineStr">
        <is>
          <t>125111</t>
        </is>
      </c>
      <c r="T98" s="2" t="n"/>
      <c r="U98" s="2" t="inlineStr">
        <is>
          <t>não</t>
        </is>
      </c>
      <c r="V98" s="2" t="n"/>
      <c r="W98" s="2" t="n"/>
      <c r="X98" s="2" t="n"/>
      <c r="Y98" s="2" t="n"/>
      <c r="Z98" s="4" t="inlineStr">
        <is>
          <t>SIM</t>
        </is>
      </c>
      <c r="AA98" s="4" t="inlineStr">
        <is>
          <t>leitura caso a caso</t>
        </is>
      </c>
      <c r="AB98" s="4" t="inlineStr">
        <is>
          <t>Fora do indicador: o ativo não existe na base de interrupção. Sem registro de interrupção não há evento a medir.</t>
        </is>
      </c>
      <c r="AC98" s="2" t="inlineStr">
        <is>
          <t>trafo queimado 5701508039 - 15KVA - 34,5KV - para raio queimado - acesso caminhonete. IND CHACARA BOA ESPERANCA - cliente: JUNHO ALVES DE SOUSA - 63992753298REF PROX AO PEQUENO E AO VALDINAR RDR ARAGUATINS</t>
        </is>
      </c>
      <c r="AD98" s="2"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t>
        </is>
      </c>
    </row>
    <row r="99" ht="90" customHeight="1">
      <c r="A99" s="2" t="inlineStr">
        <is>
          <t>ETO-RD-AG 00545/2026</t>
        </is>
      </c>
      <c r="B99" s="2" t="inlineStr">
        <is>
          <t>mai</t>
        </is>
      </c>
      <c r="C99" s="3" t="inlineStr">
        <is>
          <t>Sem interrupção comprovada</t>
        </is>
      </c>
      <c r="D99" s="2" t="inlineStr">
        <is>
          <t>Sem interrupção</t>
        </is>
      </c>
      <c r="E99" s="2" t="inlineStr">
        <is>
          <t>EXPURGO</t>
        </is>
      </c>
      <c r="F99" s="2" t="inlineStr">
        <is>
          <t>AVARIADO</t>
        </is>
      </c>
      <c r="G99" s="2" t="inlineStr">
        <is>
          <t>esteira 1.582</t>
        </is>
      </c>
      <c r="H99" s="2" t="inlineStr">
        <is>
          <t>AUSENTE DA CRÍTICA</t>
        </is>
      </c>
      <c r="I99" s="2" t="n">
        <v>5700724045</v>
      </c>
      <c r="J99" s="2" t="inlineStr">
        <is>
          <t>ENC-MLAG01  000135/2026</t>
        </is>
      </c>
      <c r="K99" s="2" t="n">
        <v>662600322</v>
      </c>
      <c r="L99" s="2" t="inlineStr">
        <is>
          <t>2026-05-22 15:23</t>
        </is>
      </c>
      <c r="M99" s="2" t="inlineStr">
        <is>
          <t>2026-05-24 12:01</t>
        </is>
      </c>
      <c r="N99" s="2" t="inlineStr">
        <is>
          <t>AVISO DE ANOMALIA</t>
        </is>
      </c>
      <c r="O99" s="2" t="inlineStr">
        <is>
          <t>ETO-RD-AG</t>
        </is>
      </c>
      <c r="P99" s="2" t="inlineStr">
        <is>
          <t>AUGUSTINOPOLIS</t>
        </is>
      </c>
      <c r="Q99" s="2" t="inlineStr">
        <is>
          <t>AVARIADO</t>
        </is>
      </c>
      <c r="R99" s="2" t="inlineStr">
        <is>
          <t>VAZAMENTO DE ÓLEO</t>
        </is>
      </c>
      <c r="S99" s="2" t="inlineStr">
        <is>
          <t>806969</t>
        </is>
      </c>
      <c r="T99" s="2" t="n"/>
      <c r="U99" s="2" t="inlineStr">
        <is>
          <t>não</t>
        </is>
      </c>
      <c r="V99" s="2" t="inlineStr">
        <is>
          <t>NIVEL DE TENSAO</t>
        </is>
      </c>
      <c r="W99" s="2" t="inlineStr">
        <is>
          <t>REGULARIZADO-PROBLEMA EM RAMAL DE SERVIÇO</t>
        </is>
      </c>
      <c r="X99" s="2" t="n"/>
      <c r="Y99" s="2" t="n"/>
      <c r="Z99" s="4" t="inlineStr">
        <is>
          <t>não</t>
        </is>
      </c>
      <c r="AA99" s="4" t="inlineStr">
        <is>
          <t>leitura caso a caso</t>
        </is>
      </c>
      <c r="AB99"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9" s="2" t="inlineStr">
        <is>
          <t>segue trafo 5700724045 com vazamento de oleo pot. 25 kva tensão 19,9kvpara-raio ruimacesso bom</t>
        </is>
      </c>
      <c r="AD99" s="2" t="inlineStr">
        <is>
          <t xml:space="preserve">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 
</t>
        </is>
      </c>
    </row>
    <row r="100" ht="45" customHeight="1">
      <c r="A100" s="2" t="inlineStr">
        <is>
          <t>ETO-RD-AR 00818/2026</t>
        </is>
      </c>
      <c r="B100" s="2" t="inlineStr">
        <is>
          <t>mai</t>
        </is>
      </c>
      <c r="C100" s="3" t="inlineStr">
        <is>
          <t>Sem interrupção comprovada</t>
        </is>
      </c>
      <c r="D100" s="2" t="inlineStr">
        <is>
          <t>Sem interrupção</t>
        </is>
      </c>
      <c r="E100" s="2" t="inlineStr">
        <is>
          <t>EXPURGO</t>
        </is>
      </c>
      <c r="F100" s="2" t="inlineStr">
        <is>
          <t>AVARIADO</t>
        </is>
      </c>
      <c r="G100" s="2" t="inlineStr">
        <is>
          <t>esteira 1.582</t>
        </is>
      </c>
      <c r="H100" s="2" t="inlineStr">
        <is>
          <t>AUSENTE DA CRÍTICA</t>
        </is>
      </c>
      <c r="I100" s="2" t="n">
        <v>5710240030</v>
      </c>
      <c r="J100" s="2" t="inlineStr">
        <is>
          <t>ENC-MLAR02  000095/2026</t>
        </is>
      </c>
      <c r="K100" s="2" t="n">
        <v>612600493</v>
      </c>
      <c r="L100" s="2" t="inlineStr">
        <is>
          <t>2026-05-08 19:27</t>
        </is>
      </c>
      <c r="M100" s="2" t="inlineStr">
        <is>
          <t>2026-05-09 15:27</t>
        </is>
      </c>
      <c r="N100" s="2" t="inlineStr">
        <is>
          <t>AVISO DE ANOMALIA</t>
        </is>
      </c>
      <c r="O100" s="2" t="inlineStr">
        <is>
          <t>ETO-RD-AR</t>
        </is>
      </c>
      <c r="P100" s="2" t="inlineStr">
        <is>
          <t>XAMBIOA</t>
        </is>
      </c>
      <c r="Q100" s="2" t="inlineStr">
        <is>
          <t>AVARIADO</t>
        </is>
      </c>
      <c r="R100" s="2" t="inlineStr">
        <is>
          <t>VAZAMENTO DE ÓLEO</t>
        </is>
      </c>
      <c r="S100" s="2" t="inlineStr">
        <is>
          <t>392515</t>
        </is>
      </c>
      <c r="T100" s="2" t="n">
        <v>1123921</v>
      </c>
      <c r="U100" s="2" t="inlineStr">
        <is>
          <t>sim</t>
        </is>
      </c>
      <c r="V100" s="2" t="n"/>
      <c r="W100" s="2" t="n"/>
      <c r="X100" s="2" t="n"/>
      <c r="Y100" s="2" t="n"/>
      <c r="Z100" s="4" t="inlineStr">
        <is>
          <t>não</t>
        </is>
      </c>
      <c r="AA100" s="4" t="inlineStr">
        <is>
          <t>leitura caso a caso</t>
        </is>
      </c>
      <c r="AB100" s="4" t="inlineStr">
        <is>
          <t>Fora do indicador: o ativo não existe na base de interrupção. Sem registro de interrupção não há evento a medir.</t>
        </is>
      </c>
      <c r="AC100" s="2" t="inlineStr">
        <is>
          <t>Trafo 5710240030 Vazamento de oleoPotencia: 10 KVATensão: 34,5 KVPara raio: Queimado Acesso: livreEquipe: 030op01 (63)98468-3634</t>
        </is>
      </c>
      <c r="AD100" s="2" t="inlineStr">
        <is>
          <t xml:space="preserve">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 
</t>
        </is>
      </c>
    </row>
    <row r="101" ht="90" customHeight="1">
      <c r="A101" s="2" t="inlineStr">
        <is>
          <t>ETO-RD-AR 00872/2026</t>
        </is>
      </c>
      <c r="B101" s="2" t="inlineStr">
        <is>
          <t>mai</t>
        </is>
      </c>
      <c r="C101" s="3" t="inlineStr">
        <is>
          <t>Sem interrupção comprovada</t>
        </is>
      </c>
      <c r="D101" s="2" t="inlineStr">
        <is>
          <t>Sem interrupção</t>
        </is>
      </c>
      <c r="E101" s="2" t="inlineStr">
        <is>
          <t>EXPURGO</t>
        </is>
      </c>
      <c r="F101" s="2" t="inlineStr">
        <is>
          <t>QUEIMADO</t>
        </is>
      </c>
      <c r="G101" s="2" t="inlineStr">
        <is>
          <t>esteira 1.582</t>
        </is>
      </c>
      <c r="H101" s="2" t="inlineStr">
        <is>
          <t>AUSENTE DA CRÍTICA</t>
        </is>
      </c>
      <c r="I101" s="2" t="n">
        <v>5710241016</v>
      </c>
      <c r="J101" s="2" t="inlineStr">
        <is>
          <t>ENC-MLAR01  000202/2026</t>
        </is>
      </c>
      <c r="K101" s="2" t="n">
        <v>612600532</v>
      </c>
      <c r="L101" s="2" t="inlineStr">
        <is>
          <t>2026-05-17 17:55</t>
        </is>
      </c>
      <c r="M101" s="2" t="inlineStr">
        <is>
          <t>2026-05-18 16:15</t>
        </is>
      </c>
      <c r="N101" s="2" t="inlineStr">
        <is>
          <t>FORMS SUBST DE TRANSFORMADOR</t>
        </is>
      </c>
      <c r="O101" s="2" t="inlineStr">
        <is>
          <t>ETO-RD-AR</t>
        </is>
      </c>
      <c r="P101" s="2" t="inlineStr">
        <is>
          <t>WANDERLANDIA</t>
        </is>
      </c>
      <c r="Q101" s="2" t="inlineStr">
        <is>
          <t>QUEIMADO</t>
        </is>
      </c>
      <c r="R101" s="2" t="inlineStr">
        <is>
          <t>DESCARGA ATMOSFÉRICA</t>
        </is>
      </c>
      <c r="S101" s="2" t="inlineStr">
        <is>
          <t>66567</t>
        </is>
      </c>
      <c r="T101" s="2" t="n">
        <v>469632</v>
      </c>
      <c r="U101" s="2" t="inlineStr">
        <is>
          <t>sim</t>
        </is>
      </c>
      <c r="V101" s="2" t="inlineStr">
        <is>
          <t>MEIO AMBIENTE</t>
        </is>
      </c>
      <c r="W101" s="2" t="inlineStr">
        <is>
          <t>DESCARGA ATMOSFERICA</t>
        </is>
      </c>
      <c r="X101" s="2" t="n"/>
      <c r="Y101" s="2" t="n"/>
      <c r="Z101" s="4" t="inlineStr">
        <is>
          <t>SIM</t>
        </is>
      </c>
      <c r="AA101" s="4" t="inlineStr">
        <is>
          <t>leitura caso a caso</t>
        </is>
      </c>
      <c r="AB101"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1" s="2" t="inlineStr">
        <is>
          <t>Trafo 5710241016 Queimado Potencia: 10 KVATensão: 34,5 KVPara raio: Queimado Acesso: livreEquipe: 004op26 (63)99214-9597</t>
        </is>
      </c>
      <c r="AD101" s="2" t="inlineStr">
        <is>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is>
      </c>
    </row>
    <row r="102" ht="45" customHeight="1">
      <c r="A102" s="2" t="inlineStr">
        <is>
          <t>DOLP-RD-PA 00621/2026</t>
        </is>
      </c>
      <c r="B102" s="2" t="inlineStr">
        <is>
          <t>jun</t>
        </is>
      </c>
      <c r="C102" s="3" t="inlineStr">
        <is>
          <t>Sem interrupção comprovada</t>
        </is>
      </c>
      <c r="D102" s="2" t="inlineStr">
        <is>
          <t>Sem interrupção</t>
        </is>
      </c>
      <c r="E102" s="2" t="inlineStr">
        <is>
          <t>EXPURGO</t>
        </is>
      </c>
      <c r="F102" s="2" t="inlineStr">
        <is>
          <t>QUEIMADO</t>
        </is>
      </c>
      <c r="G102" s="2" t="inlineStr">
        <is>
          <t>esteira 1.582</t>
        </is>
      </c>
      <c r="H102" s="2" t="inlineStr">
        <is>
          <t>AUSENTE DA CRÍTICA</t>
        </is>
      </c>
      <c r="I102" s="2" t="n">
        <v>5711684122</v>
      </c>
      <c r="J102" s="2" t="inlineStr">
        <is>
          <t>DLP-MLPA03  000083/2026</t>
        </is>
      </c>
      <c r="K102" s="2" t="n">
        <v>112600598</v>
      </c>
      <c r="L102" s="2" t="inlineStr">
        <is>
          <t>2026-06-01 12:34</t>
        </is>
      </c>
      <c r="M102" s="2" t="inlineStr">
        <is>
          <t>2026-05-22 18:00</t>
        </is>
      </c>
      <c r="N102" s="2" t="inlineStr">
        <is>
          <t>FORMS SUBST DE TRANSFORMADOR</t>
        </is>
      </c>
      <c r="O102" s="2" t="inlineStr">
        <is>
          <t>DOLP-RD-PA</t>
        </is>
      </c>
      <c r="P102" s="2" t="inlineStr">
        <is>
          <t>PALMAS</t>
        </is>
      </c>
      <c r="Q102" s="2" t="inlineStr">
        <is>
          <t>QUEIMADO</t>
        </is>
      </c>
      <c r="R102" s="2" t="inlineStr">
        <is>
          <t>DESCARGA ATMOSFÉRICA</t>
        </is>
      </c>
      <c r="S102" s="2" t="inlineStr">
        <is>
          <t>361897</t>
        </is>
      </c>
      <c r="T102" s="2" t="n">
        <v>303259</v>
      </c>
      <c r="U102" s="2" t="inlineStr">
        <is>
          <t>sim</t>
        </is>
      </c>
      <c r="V102" s="2" t="n"/>
      <c r="W102" s="2" t="n"/>
      <c r="X102" s="2" t="n"/>
      <c r="Y102" s="2" t="n"/>
      <c r="Z102" s="4" t="inlineStr">
        <is>
          <t>SIM</t>
        </is>
      </c>
      <c r="AA102" s="4" t="inlineStr">
        <is>
          <t>leitura caso a caso</t>
        </is>
      </c>
      <c r="AB102" s="4" t="inlineStr">
        <is>
          <t>Fora do indicador: o ativo não existe na base de interrupção. Sem registro de interrupção não há evento a medir.</t>
        </is>
      </c>
      <c r="AC102" s="2" t="inlineStr">
        <is>
          <t>TRAFO 5711684122 QUEIMADOPOTÊNCIA: 15 KVATENSÃO: 19,9 KVACESSO: LIVRE</t>
        </is>
      </c>
      <c r="AD102" s="2" t="inlineStr">
        <is>
          <t xml:space="preserve">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t>
        </is>
      </c>
    </row>
    <row r="103" ht="45" customHeight="1">
      <c r="A103" s="2" t="inlineStr">
        <is>
          <t>ENC-RD-PS 00546/2026</t>
        </is>
      </c>
      <c r="B103" s="2" t="inlineStr">
        <is>
          <t>jun</t>
        </is>
      </c>
      <c r="C103" s="3" t="inlineStr">
        <is>
          <t>Sem interrupção comprovada</t>
        </is>
      </c>
      <c r="D103" s="2" t="inlineStr">
        <is>
          <t>Sem interrupção</t>
        </is>
      </c>
      <c r="E103" s="2" t="inlineStr">
        <is>
          <t>EXPURGO</t>
        </is>
      </c>
      <c r="F103" s="2" t="inlineStr">
        <is>
          <t>QUEIMADO</t>
        </is>
      </c>
      <c r="G103" s="2" t="inlineStr">
        <is>
          <t>esteira 1.582</t>
        </is>
      </c>
      <c r="H103" s="2" t="inlineStr">
        <is>
          <t>AUSENTE DA CRÍTICA</t>
        </is>
      </c>
      <c r="I103" s="2" t="n">
        <v>5701119075</v>
      </c>
      <c r="J103" s="2" t="inlineStr">
        <is>
          <t>ENC-LMPS03  000087/2026</t>
        </is>
      </c>
      <c r="K103" s="2" t="n">
        <v>212600505</v>
      </c>
      <c r="L103" s="2" t="inlineStr">
        <is>
          <t>2026-06-01 16:44</t>
        </is>
      </c>
      <c r="M103" s="2" t="inlineStr">
        <is>
          <t>2026-06-02 17:57</t>
        </is>
      </c>
      <c r="N103" s="2" t="inlineStr">
        <is>
          <t>FORMS SUBST DE TRANSFORMADOR</t>
        </is>
      </c>
      <c r="O103" s="2" t="inlineStr">
        <is>
          <t>ENC-RD-PS</t>
        </is>
      </c>
      <c r="P103" s="2" t="inlineStr">
        <is>
          <t>DOIS IRMAOS DO TOCANTINS</t>
        </is>
      </c>
      <c r="Q103" s="2" t="inlineStr">
        <is>
          <t>AVARIADO</t>
        </is>
      </c>
      <c r="R103" s="2" t="inlineStr">
        <is>
          <t>VAZAMENTO DE ÓLEO</t>
        </is>
      </c>
      <c r="S103" s="2" t="inlineStr">
        <is>
          <t>379996</t>
        </is>
      </c>
      <c r="T103" s="2" t="n"/>
      <c r="U103" s="2" t="inlineStr">
        <is>
          <t>não</t>
        </is>
      </c>
      <c r="V103" s="2" t="n"/>
      <c r="W103" s="2" t="n"/>
      <c r="X103" s="2" t="n"/>
      <c r="Y103" s="2" t="n"/>
      <c r="Z103" s="4" t="inlineStr">
        <is>
          <t>SIM</t>
        </is>
      </c>
      <c r="AA103" s="4" t="inlineStr">
        <is>
          <t>leitura caso a caso</t>
        </is>
      </c>
      <c r="AB103" s="4" t="inlineStr">
        <is>
          <t>Fora do indicador: o ativo não existe na base de interrupção. Sem registro de interrupção não há evento a medir.</t>
        </is>
      </c>
      <c r="AC103" s="2" t="inlineStr">
        <is>
          <t>5701119075 15KVA 34,5KV ACESSO BOM E PARA-RAIOS 075OP02</t>
        </is>
      </c>
      <c r="AD103" s="2" t="inlineStr">
        <is>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is>
      </c>
    </row>
    <row r="104" ht="75" customHeight="1">
      <c r="A104" s="2" t="inlineStr">
        <is>
          <t>ENC-RD-PS 00594/2026</t>
        </is>
      </c>
      <c r="B104" s="2" t="inlineStr">
        <is>
          <t>jun</t>
        </is>
      </c>
      <c r="C104" s="3" t="inlineStr">
        <is>
          <t>Sem interrupção comprovada</t>
        </is>
      </c>
      <c r="D104" s="2" t="inlineStr">
        <is>
          <t>Sem interrupção</t>
        </is>
      </c>
      <c r="E104" s="2" t="inlineStr">
        <is>
          <t>EXPURGO</t>
        </is>
      </c>
      <c r="F104" s="2" t="inlineStr">
        <is>
          <t>QUEIMADO</t>
        </is>
      </c>
      <c r="G104" s="2" t="inlineStr">
        <is>
          <t>esteira 1.582</t>
        </is>
      </c>
      <c r="H104" s="2" t="inlineStr">
        <is>
          <t>AUSENTE DA CRÍTICA</t>
        </is>
      </c>
      <c r="I104" s="2" t="n">
        <v>5700417110</v>
      </c>
      <c r="J104" s="2" t="inlineStr">
        <is>
          <t>ENC-LMPS03  000095/2026</t>
        </is>
      </c>
      <c r="K104" s="2" t="n">
        <v>212600540</v>
      </c>
      <c r="L104" s="2" t="inlineStr">
        <is>
          <t>2026-06-21 13:30</t>
        </is>
      </c>
      <c r="M104" s="2" t="inlineStr">
        <is>
          <t>2026-06-22 19:24</t>
        </is>
      </c>
      <c r="N104" s="2" t="inlineStr">
        <is>
          <t>FORMS SUBST DE TRANSFORMADOR</t>
        </is>
      </c>
      <c r="O104" s="2" t="inlineStr">
        <is>
          <t>ENC-RD-PS</t>
        </is>
      </c>
      <c r="P104" s="2" t="inlineStr">
        <is>
          <t>SANTA RITA DO TOCANTINS</t>
        </is>
      </c>
      <c r="Q104" s="2" t="inlineStr">
        <is>
          <t>QUEIMADO</t>
        </is>
      </c>
      <c r="R104" s="2" t="inlineStr">
        <is>
          <t>NÃO IDENTIFICADO</t>
        </is>
      </c>
      <c r="S104" s="2" t="inlineStr">
        <is>
          <t>462535</t>
        </is>
      </c>
      <c r="T104" s="2" t="n">
        <v>822924</v>
      </c>
      <c r="U104" s="2" t="inlineStr">
        <is>
          <t>sim</t>
        </is>
      </c>
      <c r="V104" s="2" t="n"/>
      <c r="W104" s="2" t="n"/>
      <c r="X104" s="2" t="n"/>
      <c r="Y104" s="2" t="n"/>
      <c r="Z104" s="4" t="inlineStr">
        <is>
          <t>SIM</t>
        </is>
      </c>
      <c r="AA104" s="4" t="inlineStr">
        <is>
          <t>leitura caso a caso</t>
        </is>
      </c>
      <c r="AB104" s="4" t="inlineStr">
        <is>
          <t>Fora do indicador: o código não aparece na Crítica em papel nenhum — nem com defeito, nem interrompido, nem manobrado — nos sete meses do acervo; nem o teste do vizinho achou explicação.</t>
        </is>
      </c>
      <c r="AC104" s="2"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D104" s="2" t="inlineStr">
        <is>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is>
      </c>
    </row>
    <row r="105" ht="90" customHeight="1">
      <c r="A105" s="2" t="inlineStr">
        <is>
          <t>ETO-RD-AR 00987/2026</t>
        </is>
      </c>
      <c r="B105" s="2" t="inlineStr">
        <is>
          <t>jun</t>
        </is>
      </c>
      <c r="C105" s="3" t="inlineStr">
        <is>
          <t>Sem interrupção comprovada</t>
        </is>
      </c>
      <c r="D105" s="2" t="inlineStr">
        <is>
          <t>Sem interrupção</t>
        </is>
      </c>
      <c r="E105" s="2" t="inlineStr">
        <is>
          <t>EXPURGO</t>
        </is>
      </c>
      <c r="F105" s="2" t="inlineStr">
        <is>
          <t>AVARIADO</t>
        </is>
      </c>
      <c r="G105" s="2" t="inlineStr">
        <is>
          <t>esteira 1.582</t>
        </is>
      </c>
      <c r="H105" s="2" t="inlineStr">
        <is>
          <t>AUSENTE DA CRÍTICA</t>
        </is>
      </c>
      <c r="I105" s="2" t="n">
        <v>5700001058</v>
      </c>
      <c r="J105" s="2" t="inlineStr">
        <is>
          <t>ENC-MLAR05  000334/2026</t>
        </is>
      </c>
      <c r="K105" s="2" t="n"/>
      <c r="L105" s="2" t="inlineStr">
        <is>
          <t>2026-06-16 18:57</t>
        </is>
      </c>
      <c r="M105" s="2" t="inlineStr">
        <is>
          <t>2026-06-17 04:50</t>
        </is>
      </c>
      <c r="N105" s="2" t="inlineStr">
        <is>
          <t>FORMS SUBST DE TRANSFORMADOR</t>
        </is>
      </c>
      <c r="O105" s="2" t="inlineStr">
        <is>
          <t>ETO-RD-AR</t>
        </is>
      </c>
      <c r="P105" s="2" t="inlineStr">
        <is>
          <t>SANTA FE DO ARAGUAIA</t>
        </is>
      </c>
      <c r="Q105" s="2" t="inlineStr">
        <is>
          <t>AVARIADO</t>
        </is>
      </c>
      <c r="R105" s="2" t="inlineStr">
        <is>
          <t>VAZAMENTO DE ÓLEO</t>
        </is>
      </c>
      <c r="S105" s="2" t="inlineStr">
        <is>
          <t>8711055</t>
        </is>
      </c>
      <c r="T105" s="2" t="n">
        <v>1587020</v>
      </c>
      <c r="U105" s="2" t="inlineStr">
        <is>
          <t>sim</t>
        </is>
      </c>
      <c r="V105" s="2" t="n"/>
      <c r="W105" s="2" t="n"/>
      <c r="X105" s="2" t="n"/>
      <c r="Y105" s="2" t="n"/>
      <c r="Z105" s="4" t="inlineStr">
        <is>
          <t>SIM</t>
        </is>
      </c>
      <c r="AA105" s="4" t="inlineStr">
        <is>
          <t>leitura caso a caso</t>
        </is>
      </c>
      <c r="AB105"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5" s="2" t="inlineStr">
        <is>
          <t>TRAFO 5700001058 75KVA 34.5KV COM VAZAMENTO DE OLEO OCASIONANDO INCENDIO NA BUCHA SECUNDARIARUA JOSE LINO DA SILVA, 0 - QD07 LT 04 PROX CARTORIO DE IMOVEIS RDU DE SANTA FÉ.</t>
        </is>
      </c>
      <c r="AD105" s="2" t="inlineStr">
        <is>
          <t>ETO-RD-AR 987/2026 
SERVIÇO LANÇADO NA O.S ETO-RD-AR 2646/2026.</t>
        </is>
      </c>
    </row>
    <row r="106" ht="45" customHeight="1">
      <c r="A106" s="2" t="inlineStr">
        <is>
          <t>ETO-RD-GR 00598/2026</t>
        </is>
      </c>
      <c r="B106" s="2" t="inlineStr">
        <is>
          <t>jun</t>
        </is>
      </c>
      <c r="C106" s="3" t="inlineStr">
        <is>
          <t>Sem interrupção comprovada</t>
        </is>
      </c>
      <c r="D106" s="2" t="inlineStr">
        <is>
          <t>Sem interrupção</t>
        </is>
      </c>
      <c r="E106" s="2" t="inlineStr">
        <is>
          <t>EXPURGO</t>
        </is>
      </c>
      <c r="F106" s="2" t="inlineStr">
        <is>
          <t>AVARIADO</t>
        </is>
      </c>
      <c r="G106" s="2" t="inlineStr">
        <is>
          <t>esteira 1.582</t>
        </is>
      </c>
      <c r="H106" s="2" t="inlineStr">
        <is>
          <t>AUSENTE DA CRÍTICA</t>
        </is>
      </c>
      <c r="I106" s="2" t="n">
        <v>5730596155</v>
      </c>
      <c r="J106" s="2" t="inlineStr">
        <is>
          <t>ENC-MLGR01  000148/2026</t>
        </is>
      </c>
      <c r="K106" s="2" t="n">
        <v>712600392</v>
      </c>
      <c r="L106" s="2" t="inlineStr">
        <is>
          <t>2026-06-04 17:41</t>
        </is>
      </c>
      <c r="M106" s="2" t="inlineStr">
        <is>
          <t>2026-06-05 13:58</t>
        </is>
      </c>
      <c r="N106" s="2" t="inlineStr">
        <is>
          <t>FORMS SUBST DE TRANSFORMADOR</t>
        </is>
      </c>
      <c r="O106" s="2" t="inlineStr">
        <is>
          <t>ETO-RD-GR</t>
        </is>
      </c>
      <c r="P106" s="2" t="inlineStr">
        <is>
          <t>PALMEIRANTE</t>
        </is>
      </c>
      <c r="Q106" s="2" t="inlineStr">
        <is>
          <t>SOBRECARGA PREVENTIVA</t>
        </is>
      </c>
      <c r="R106" s="2" t="inlineStr">
        <is>
          <t>VAZAMENTO DE ÓLEO</t>
        </is>
      </c>
      <c r="S106" s="2" t="inlineStr">
        <is>
          <t>442992</t>
        </is>
      </c>
      <c r="T106" s="2" t="n"/>
      <c r="U106" s="2" t="inlineStr">
        <is>
          <t>não</t>
        </is>
      </c>
      <c r="V106" s="2" t="n"/>
      <c r="W106" s="2" t="n"/>
      <c r="X106" s="2" t="n"/>
      <c r="Y106" s="2" t="n"/>
      <c r="Z106" s="4" t="inlineStr">
        <is>
          <t>não</t>
        </is>
      </c>
      <c r="AA106" s="4" t="inlineStr">
        <is>
          <t>leitura caso a caso</t>
        </is>
      </c>
      <c r="AB106" s="4" t="inlineStr">
        <is>
          <t>Fora do indicador: o ativo não existe na base de interrupção. Sem registro de interrupção não há evento a medir.</t>
        </is>
      </c>
      <c r="AC106" s="2" t="inlineStr">
        <is>
          <t>Boa tarde,Favor enviar manutenção para substituir trafo 5730596155 o mesmo está com muito vazamento de oléo. Se possivel colocar trafo de maior potencia.</t>
        </is>
      </c>
      <c r="AD106" s="2" t="inlineStr">
        <is>
          <t xml:space="preserve">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 
</t>
        </is>
      </c>
    </row>
    <row r="107" ht="90" customHeight="1">
      <c r="A107" s="2" t="inlineStr">
        <is>
          <t>ETO-RD-GR 00632/2026</t>
        </is>
      </c>
      <c r="B107" s="2" t="inlineStr">
        <is>
          <t>jun</t>
        </is>
      </c>
      <c r="C107" s="3" t="inlineStr">
        <is>
          <t>Sem interrupção comprovada</t>
        </is>
      </c>
      <c r="D107" s="2" t="inlineStr">
        <is>
          <t>Sem interrupção</t>
        </is>
      </c>
      <c r="E107" s="2" t="inlineStr">
        <is>
          <t>EXPURGO</t>
        </is>
      </c>
      <c r="F107" s="2" t="inlineStr">
        <is>
          <t>QUEIMADO</t>
        </is>
      </c>
      <c r="G107" s="2" t="inlineStr">
        <is>
          <t>esteira 1.582</t>
        </is>
      </c>
      <c r="H107" s="2" t="inlineStr">
        <is>
          <t>AUSENTE DA CRÍTICA</t>
        </is>
      </c>
      <c r="I107" s="2" t="n">
        <v>5700782153</v>
      </c>
      <c r="J107" s="2" t="inlineStr">
        <is>
          <t>ENC-MLGR01  000151/2026</t>
        </is>
      </c>
      <c r="K107" s="2" t="n">
        <v>712600426</v>
      </c>
      <c r="L107" s="2" t="inlineStr">
        <is>
          <t>2026-06-19 15:57</t>
        </is>
      </c>
      <c r="M107" s="2" t="inlineStr">
        <is>
          <t>2026-06-20 14:13</t>
        </is>
      </c>
      <c r="N107" s="2" t="inlineStr">
        <is>
          <t>FORMS SUBST DE TRANSFORMADOR</t>
        </is>
      </c>
      <c r="O107" s="2" t="inlineStr">
        <is>
          <t>ETO-RD-GR</t>
        </is>
      </c>
      <c r="P107" s="2" t="inlineStr">
        <is>
          <t>BERNARDO SAYAO</t>
        </is>
      </c>
      <c r="Q107" s="2" t="inlineStr">
        <is>
          <t>QUEIMADO</t>
        </is>
      </c>
      <c r="R107" s="2" t="inlineStr">
        <is>
          <t>NÃO IDENTIFICADO</t>
        </is>
      </c>
      <c r="S107" s="2" t="inlineStr">
        <is>
          <t>846016</t>
        </is>
      </c>
      <c r="T107" s="2" t="n">
        <v>830326</v>
      </c>
      <c r="U107" s="2" t="inlineStr">
        <is>
          <t>sim</t>
        </is>
      </c>
      <c r="V107" s="2" t="inlineStr">
        <is>
          <t>CONDUTOR DE AT</t>
        </is>
      </c>
      <c r="W107" s="2" t="inlineStr">
        <is>
          <t>PARTIDO NA FASE</t>
        </is>
      </c>
      <c r="X107" s="2" t="n"/>
      <c r="Y107" s="2" t="n"/>
      <c r="Z107" s="4" t="inlineStr">
        <is>
          <t>SIM</t>
        </is>
      </c>
      <c r="AA107" s="4" t="inlineStr">
        <is>
          <t>leitura caso a caso</t>
        </is>
      </c>
      <c r="AB107"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7" s="2" t="inlineStr">
        <is>
          <t>TRANSFORMADOR DE 10KVA NA 34,5KV, QUEIMADO, ACESSO CAMINHONETE.</t>
        </is>
      </c>
      <c r="AD107" s="2" t="inlineStr">
        <is>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is>
      </c>
    </row>
    <row r="108" ht="210" customHeight="1">
      <c r="A108" s="2" t="inlineStr">
        <is>
          <t>DOLP-RD-PA 00806/2026</t>
        </is>
      </c>
      <c r="B108" s="2" t="inlineStr">
        <is>
          <t>ago</t>
        </is>
      </c>
      <c r="C108" s="3" t="inlineStr">
        <is>
          <t>Sem interrupção comprovada</t>
        </is>
      </c>
      <c r="D108" s="2" t="inlineStr">
        <is>
          <t>Sem interrupção</t>
        </is>
      </c>
      <c r="E108" s="2" t="inlineStr">
        <is>
          <t>EXPURGO</t>
        </is>
      </c>
      <c r="F108" s="2" t="inlineStr">
        <is>
          <t>AVARIADO</t>
        </is>
      </c>
      <c r="G108" s="2" t="inlineStr">
        <is>
          <t>leitura do texto (jan–ago)</t>
        </is>
      </c>
      <c r="H108" s="2" t="inlineStr">
        <is>
          <t>AUSENTE DA CRÍTICA</t>
        </is>
      </c>
      <c r="I108" s="2" t="n">
        <v>5701225122</v>
      </c>
      <c r="J108" s="2" t="inlineStr">
        <is>
          <t>DLP-MPPA01  000272/2026</t>
        </is>
      </c>
      <c r="K108" s="2" t="n"/>
      <c r="L108" s="2" t="inlineStr">
        <is>
          <t>2026-08-07 09:01</t>
        </is>
      </c>
      <c r="M108" s="2" t="inlineStr">
        <is>
          <t>2026-08-10 18:00</t>
        </is>
      </c>
      <c r="N108" s="2" t="inlineStr">
        <is>
          <t>FORMS SUBST DE TRANSFORMADOR</t>
        </is>
      </c>
      <c r="O108" s="2" t="inlineStr">
        <is>
          <t>DOLP-RD-PA</t>
        </is>
      </c>
      <c r="P108" s="2" t="inlineStr">
        <is>
          <t>PALMAS</t>
        </is>
      </c>
      <c r="Q108" s="2" t="inlineStr">
        <is>
          <t>AVARIADO</t>
        </is>
      </c>
      <c r="R108" s="2" t="inlineStr">
        <is>
          <t>VAZAMENTO DE ÓLEO</t>
        </is>
      </c>
      <c r="S108" s="2" t="inlineStr">
        <is>
          <t>00</t>
        </is>
      </c>
      <c r="T108" s="2" t="n">
        <v>0</v>
      </c>
      <c r="U108" s="2" t="inlineStr">
        <is>
          <t>não</t>
        </is>
      </c>
      <c r="V108" s="2" t="n"/>
      <c r="W108" s="2" t="n"/>
      <c r="X108" s="2" t="n"/>
      <c r="Y108" s="5" t="n"/>
      <c r="Z108" s="4" t="inlineStr">
        <is>
          <t>SIM</t>
        </is>
      </c>
      <c r="AA108" s="4" t="inlineStr">
        <is>
          <t>Crítica + TMAE de agosto (novo)</t>
        </is>
      </c>
      <c r="AB108" s="4"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c r="AC108" s="2" t="inlineStr">
        <is>
          <t>Segue SS aberta para substituição de Trafo com vazamento de oléo Trafo 5701225122na 103 norte.trafo 75kva. tensão 13800 / 380 Vpara Raios queimados.acesso livre.telefone equipe 63 98117 9742</t>
        </is>
      </c>
      <c r="AD108" s="2" t="inlineStr">
        <is>
          <t>MEDIDO_ 
01. Baixado para consumo de material  
Segue SS aberta para substituição de Trafo com vazamento de oléo Trafo 5701225122 
na 103 norte. 
trafo 75kva. tensão 13800 / 380 V 
para Raios queimados. 
acesso livre. 
telefone equipe 63 98117 9742 
DADOS DO ATENDIMENTO: 
EQUIPE: 833012 - DLP-MPPA02 
ENCARREGADO: JULIO IGNACIO 
DATA: 10/08/2026</t>
        </is>
      </c>
    </row>
    <row r="109" ht="135" customHeight="1">
      <c r="A109" s="2" t="inlineStr">
        <is>
          <t>DOLP-RD-PA 00888/2026</t>
        </is>
      </c>
      <c r="B109" s="2" t="inlineStr">
        <is>
          <t>ago</t>
        </is>
      </c>
      <c r="C109" s="3" t="inlineStr">
        <is>
          <t>Sem interrupção comprovada</t>
        </is>
      </c>
      <c r="D109" s="2" t="inlineStr">
        <is>
          <t>Sem interrupção</t>
        </is>
      </c>
      <c r="E109" s="2" t="inlineStr">
        <is>
          <t>EXPURGO</t>
        </is>
      </c>
      <c r="F109" s="2" t="inlineStr">
        <is>
          <t>QUEIMADO</t>
        </is>
      </c>
      <c r="G109" s="2" t="inlineStr">
        <is>
          <t>leitura do texto (jan–ago)</t>
        </is>
      </c>
      <c r="H109" s="2" t="inlineStr">
        <is>
          <t>AUSENTE DA CRÍTICA</t>
        </is>
      </c>
      <c r="I109" s="2" t="n">
        <v>5750729059</v>
      </c>
      <c r="J109" s="2" t="inlineStr">
        <is>
          <t>DLP-MPPA01  000293/2026</t>
        </is>
      </c>
      <c r="K109" s="2" t="n"/>
      <c r="L109" s="2" t="inlineStr">
        <is>
          <t>2026-08-22 13:11</t>
        </is>
      </c>
      <c r="M109" s="2" t="inlineStr">
        <is>
          <t>2026-08-22 18:00</t>
        </is>
      </c>
      <c r="N109" s="2" t="inlineStr">
        <is>
          <t>FORMS SUBST DE TRANSFORMADOR</t>
        </is>
      </c>
      <c r="O109" s="2" t="inlineStr">
        <is>
          <t>DOLP-RD-PA</t>
        </is>
      </c>
      <c r="P109" s="2" t="inlineStr">
        <is>
          <t>PALMAS</t>
        </is>
      </c>
      <c r="Q109" s="2" t="inlineStr">
        <is>
          <t>QUEIMADO</t>
        </is>
      </c>
      <c r="R109" s="2" t="inlineStr">
        <is>
          <t>NÃO IDENTIFICADO</t>
        </is>
      </c>
      <c r="S109" s="2" t="inlineStr">
        <is>
          <t>00</t>
        </is>
      </c>
      <c r="T109" s="2" t="n">
        <v>0</v>
      </c>
      <c r="U109" s="2" t="inlineStr">
        <is>
          <t>não</t>
        </is>
      </c>
      <c r="V109" s="2" t="n"/>
      <c r="W109" s="2" t="n"/>
      <c r="X109" s="2" t="n"/>
      <c r="Y109" s="5" t="n"/>
      <c r="Z109" s="4" t="inlineStr">
        <is>
          <t>SIM</t>
        </is>
      </c>
      <c r="AA109" s="4" t="inlineStr">
        <is>
          <t>Crítica + TMAE de agosto (novo)</t>
        </is>
      </c>
      <c r="AB109" s="4"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c r="AC109" s="2"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AD109" s="2" t="inlineStr">
        <is>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is>
      </c>
    </row>
    <row r="110" ht="150" customHeight="1">
      <c r="A110" s="2" t="inlineStr">
        <is>
          <t>DOLP-RD-PA 00925/2026</t>
        </is>
      </c>
      <c r="B110" s="2" t="inlineStr">
        <is>
          <t>ago</t>
        </is>
      </c>
      <c r="C110" s="3" t="inlineStr">
        <is>
          <t>Sem interrupção comprovada</t>
        </is>
      </c>
      <c r="D110" s="2" t="inlineStr">
        <is>
          <t>Sem interrupção</t>
        </is>
      </c>
      <c r="E110" s="2" t="inlineStr">
        <is>
          <t>EXPURGO</t>
        </is>
      </c>
      <c r="F110" s="2" t="inlineStr">
        <is>
          <t>AVARIADO</t>
        </is>
      </c>
      <c r="G110" s="2" t="inlineStr">
        <is>
          <t>leitura do texto (jan–ago)</t>
        </is>
      </c>
      <c r="H110" s="2" t="inlineStr">
        <is>
          <t>AUSENTE DA CRÍTICA</t>
        </is>
      </c>
      <c r="I110" s="2" t="n">
        <v>5711775122</v>
      </c>
      <c r="J110" s="2" t="inlineStr">
        <is>
          <t>DLP-MLPA01  000189/2026</t>
        </is>
      </c>
      <c r="K110" s="2" t="n"/>
      <c r="L110" s="2" t="inlineStr">
        <is>
          <t>2026-08-31 20:51</t>
        </is>
      </c>
      <c r="M110" s="2" t="inlineStr">
        <is>
          <t>2026-09-01 18:00</t>
        </is>
      </c>
      <c r="N110" s="2" t="inlineStr">
        <is>
          <t>FORMS SUBST DE TRANSFORMADOR</t>
        </is>
      </c>
      <c r="O110" s="2" t="inlineStr">
        <is>
          <t>DOLP-RD-PA</t>
        </is>
      </c>
      <c r="P110" s="2" t="inlineStr">
        <is>
          <t>PALMAS</t>
        </is>
      </c>
      <c r="Q110" s="2" t="inlineStr">
        <is>
          <t>AVARIADO</t>
        </is>
      </c>
      <c r="R110" s="2" t="inlineStr">
        <is>
          <t>VAZAMENTO DE ÓLEO</t>
        </is>
      </c>
      <c r="S110" s="2" t="inlineStr">
        <is>
          <t>00</t>
        </is>
      </c>
      <c r="T110" s="2" t="n">
        <v>0</v>
      </c>
      <c r="U110" s="2" t="inlineStr">
        <is>
          <t>não</t>
        </is>
      </c>
      <c r="V110" s="2" t="n"/>
      <c r="W110" s="2" t="n"/>
      <c r="X110" s="2" t="n"/>
      <c r="Y110" s="5" t="n"/>
      <c r="Z110" s="4" t="inlineStr">
        <is>
          <t>SIM</t>
        </is>
      </c>
      <c r="AA110" s="4" t="inlineStr">
        <is>
          <t>Crítica + TMAE de agosto (novo)</t>
        </is>
      </c>
      <c r="AB110" s="4"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c r="AC110" s="2" t="inlineStr">
        <is>
          <t>Transformador 5711775122 muito vazamento de oleo, potencia 25kva, tensão 19.9, acesso livre a caminhao, possivel causa descarga atmosferica.</t>
        </is>
      </c>
      <c r="AD110" s="2" t="inlineStr">
        <is>
          <t>MEDIDO_ 
01. Baixado para consumo de material  
Transformador 5711775122 muito vazamento de oleo, potencia 25kva, tensão 19.9, acesso livre a caminhao, possivel causa descarga atmosferica. 
DADOS DO ATENDIMENTO: 
EQUIPE: 933004 - DLP-MLAP01 
LIDER: JOSE RAIMUNDO 
DATA: 01/09/2026</t>
        </is>
      </c>
    </row>
    <row r="111" ht="150" customHeight="1">
      <c r="A111" s="2" t="inlineStr">
        <is>
          <t>ETO-RD-AG 00877/2026</t>
        </is>
      </c>
      <c r="B111" s="2" t="inlineStr">
        <is>
          <t>ago</t>
        </is>
      </c>
      <c r="C111" s="3" t="inlineStr">
        <is>
          <t>Sem interrupção comprovada</t>
        </is>
      </c>
      <c r="D111" s="2" t="inlineStr">
        <is>
          <t>Sem interrupção</t>
        </is>
      </c>
      <c r="E111" s="2" t="inlineStr">
        <is>
          <t>EXPURGO</t>
        </is>
      </c>
      <c r="F111" s="2" t="inlineStr">
        <is>
          <t>AVARIADO</t>
        </is>
      </c>
      <c r="G111" s="2" t="inlineStr">
        <is>
          <t>leitura do texto (jan–ago)</t>
        </is>
      </c>
      <c r="H111" s="2" t="inlineStr">
        <is>
          <t>AUSENTE DA CRÍTICA</t>
        </is>
      </c>
      <c r="I111" s="2" t="n">
        <v>5710176039</v>
      </c>
      <c r="J111" s="2" t="inlineStr">
        <is>
          <t>ETO-RD-AG  000766/2026</t>
        </is>
      </c>
      <c r="K111" s="2" t="n">
        <v>662600534</v>
      </c>
      <c r="L111" s="2" t="inlineStr">
        <is>
          <t>2026-08-20 18:48</t>
        </is>
      </c>
      <c r="M111" s="2" t="inlineStr">
        <is>
          <t>2026-08-22 18:00</t>
        </is>
      </c>
      <c r="N111" s="2" t="inlineStr">
        <is>
          <t>AVISO DE ANOMALIA</t>
        </is>
      </c>
      <c r="O111" s="2" t="inlineStr">
        <is>
          <t>ETO-RD-AG</t>
        </is>
      </c>
      <c r="P111" s="2" t="inlineStr">
        <is>
          <t>ARAGUATINS</t>
        </is>
      </c>
      <c r="Q111" s="2" t="inlineStr">
        <is>
          <t>SOBRECARGA PREVENTIVA</t>
        </is>
      </c>
      <c r="R111" s="2" t="inlineStr">
        <is>
          <t>VAZAMENTO DE ÓLEO</t>
        </is>
      </c>
      <c r="S111" s="2" t="n"/>
      <c r="T111" s="2" t="n"/>
      <c r="U111" s="2" t="inlineStr">
        <is>
          <t>não</t>
        </is>
      </c>
      <c r="V111" s="2" t="n"/>
      <c r="W111" s="2" t="n"/>
      <c r="X111" s="2" t="n"/>
      <c r="Y111" s="5" t="n"/>
      <c r="Z111" s="4" t="inlineStr">
        <is>
          <t>não</t>
        </is>
      </c>
      <c r="AA111" s="4" t="inlineStr">
        <is>
          <t>Crítica + TMAE de agosto (novo)</t>
        </is>
      </c>
      <c r="AB111" s="4"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c r="AC111" s="2" t="inlineStr">
        <is>
          <t>Enviar equipe de manutenção para substituir TRAFO COM VAZAMENTO DE OLEO - TRAFO [5710176039] TRAFO DE 15KVA - 19.9KV</t>
        </is>
      </c>
      <c r="AD111" s="2" t="inlineStr">
        <is>
          <t>PLANO DE MEDIDA - Realizar substituição do trafo 5710176039 de 15 kVA para 25 kVA. 
Enviar equipe de manutenção para substituir TRAFO COM VAZAMENTO DE OLEO - TRAFO [5710176039]  
TRAFO DE 15KVA - 19.9KV</t>
        </is>
      </c>
    </row>
    <row r="112" ht="120" customHeight="1">
      <c r="A112" s="2" t="inlineStr">
        <is>
          <t>ETO-RD-AR 01225/2026</t>
        </is>
      </c>
      <c r="B112" s="2" t="inlineStr">
        <is>
          <t>ago</t>
        </is>
      </c>
      <c r="C112" s="3" t="inlineStr">
        <is>
          <t>Sem interrupção comprovada</t>
        </is>
      </c>
      <c r="D112" s="2" t="inlineStr">
        <is>
          <t>Sem interrupção</t>
        </is>
      </c>
      <c r="E112" s="2" t="inlineStr">
        <is>
          <t>EXPURGO</t>
        </is>
      </c>
      <c r="F112" s="2" t="inlineStr">
        <is>
          <t>QUEIMADO</t>
        </is>
      </c>
      <c r="G112" s="2" t="inlineStr">
        <is>
          <t>leitura do texto (jan–ago)</t>
        </is>
      </c>
      <c r="H112" s="2" t="inlineStr">
        <is>
          <t>AUSENTE DA CRÍTICA</t>
        </is>
      </c>
      <c r="I112" s="2" t="n">
        <v>5720186077</v>
      </c>
      <c r="J112" s="2" t="inlineStr">
        <is>
          <t>ENC-MPAR02  000052/2026</t>
        </is>
      </c>
      <c r="K112" s="2" t="n">
        <v>612600770</v>
      </c>
      <c r="L112" s="2" t="inlineStr">
        <is>
          <t>2026-08-08 12:30</t>
        </is>
      </c>
      <c r="M112" s="2" t="inlineStr">
        <is>
          <t>2026-08-09 01:52</t>
        </is>
      </c>
      <c r="N112" s="2" t="inlineStr">
        <is>
          <t>FORMS SUBST DE TRANSFORMADOR</t>
        </is>
      </c>
      <c r="O112" s="2" t="inlineStr">
        <is>
          <t>ETO-RD-AR</t>
        </is>
      </c>
      <c r="P112" s="2" t="inlineStr">
        <is>
          <t>GOIATINS</t>
        </is>
      </c>
      <c r="Q112" s="2" t="inlineStr">
        <is>
          <t>QUEIMADO</t>
        </is>
      </c>
      <c r="R112" s="2" t="inlineStr">
        <is>
          <t>NÃO IDENTIFICADO</t>
        </is>
      </c>
      <c r="S112" s="2" t="inlineStr">
        <is>
          <t>978259</t>
        </is>
      </c>
      <c r="T112" s="2" t="n"/>
      <c r="U112" s="2" t="inlineStr">
        <is>
          <t>não</t>
        </is>
      </c>
      <c r="V112" s="2" t="n"/>
      <c r="W112" s="2" t="n"/>
      <c r="X112" s="2" t="n"/>
      <c r="Y112" s="5" t="n"/>
      <c r="Z112" s="4" t="inlineStr">
        <is>
          <t>SIM</t>
        </is>
      </c>
      <c r="AA112" s="4" t="inlineStr">
        <is>
          <t>Crítica + TMAE de agosto (novo)</t>
        </is>
      </c>
      <c r="AB112" s="4"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c r="AC112" s="2" t="inlineStr">
        <is>
          <t>TRANSFORMADOR QUEIMADO, PARA RAIO QUEIMADO.ACESSO A CAMINHONETE</t>
        </is>
      </c>
      <c r="AD112" s="2" t="inlineStr">
        <is>
          <t xml:space="preserve">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 </t>
        </is>
      </c>
    </row>
    <row r="113" ht="225" customHeight="1">
      <c r="A113" s="2" t="inlineStr">
        <is>
          <t>ETO-RD-AR 01274/2026</t>
        </is>
      </c>
      <c r="B113" s="2" t="inlineStr">
        <is>
          <t>ago</t>
        </is>
      </c>
      <c r="C113" s="3" t="inlineStr">
        <is>
          <t>Sem interrupção comprovada</t>
        </is>
      </c>
      <c r="D113" s="2" t="inlineStr">
        <is>
          <t>Sem interrupção</t>
        </is>
      </c>
      <c r="E113" s="2" t="inlineStr">
        <is>
          <t>EXPURGO</t>
        </is>
      </c>
      <c r="F113" s="2" t="inlineStr">
        <is>
          <t>AVARIADO</t>
        </is>
      </c>
      <c r="G113" s="2" t="inlineStr">
        <is>
          <t>leitura do texto (jan–ago)</t>
        </is>
      </c>
      <c r="H113" s="2" t="inlineStr">
        <is>
          <t>AUSENTE DA CRÍTICA</t>
        </is>
      </c>
      <c r="I113" s="2" t="n">
        <v>5300693019</v>
      </c>
      <c r="J113" s="2" t="inlineStr">
        <is>
          <t>ENC-MPAR01  000071/2026</t>
        </is>
      </c>
      <c r="K113" s="2" t="n">
        <v>612600823</v>
      </c>
      <c r="L113" s="2" t="inlineStr">
        <is>
          <t>2026-08-19 20:29</t>
        </is>
      </c>
      <c r="M113" s="2" t="inlineStr">
        <is>
          <t>2026-08-20 15:10</t>
        </is>
      </c>
      <c r="N113" s="2" t="inlineStr">
        <is>
          <t>FORMS SUBST DE TRANSFORMADOR</t>
        </is>
      </c>
      <c r="O113" s="2" t="inlineStr">
        <is>
          <t>ETO-RD-AR</t>
        </is>
      </c>
      <c r="P113" s="2" t="inlineStr">
        <is>
          <t>FILADELFIA</t>
        </is>
      </c>
      <c r="Q113" s="2" t="inlineStr">
        <is>
          <t>AVARIADO</t>
        </is>
      </c>
      <c r="R113" s="2" t="inlineStr">
        <is>
          <t>VAZAMENTO DE ÓLEO</t>
        </is>
      </c>
      <c r="S113" s="2" t="inlineStr">
        <is>
          <t>C 87207</t>
        </is>
      </c>
      <c r="T113" s="2" t="n"/>
      <c r="U113" s="2" t="inlineStr">
        <is>
          <t>não</t>
        </is>
      </c>
      <c r="V113" s="2" t="n"/>
      <c r="W113" s="2" t="n"/>
      <c r="X113" s="2" t="n"/>
      <c r="Y113" s="5" t="n"/>
      <c r="Z113" s="4" t="inlineStr">
        <is>
          <t>SIM</t>
        </is>
      </c>
      <c r="AA113" s="4" t="inlineStr">
        <is>
          <t>Crítica + TMAE de agosto (novo)</t>
        </is>
      </c>
      <c r="AB113" s="4"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c r="AC113" s="2" t="inlineStr">
        <is>
          <t>Trafo: 5300693019 vazamento de oleoPotencia: 15 KVATensão: 34,5KVPara raio: Queimado Acesso: LivreEquipe: 019op01 (63)(63)99236-0191</t>
        </is>
      </c>
      <c r="AD113" s="2" t="inlineStr">
        <is>
          <t xml:space="preserve">ETO RD AR 1274/2026 
TR: 5700693019 
TRAFO RETIRADO 
POTÊNCIA : 15KVA  
TENSÃO :	 34,5KV  
Nº ENERGISA (CITD) : 150982 
Nº DE SÉRIE : C303362 
MARCA : ITAM  
DATA FABRICAÇÃO : 14/02/2026 
IMPEDANCIA : 2,98 
POS. TAP : 03 
TRAFO INSTALADO 
POTÊNCIA : 25KVA  
TENSÃO :	 34,5KV  
Nº ENERGISA (CITD) : 130638 
Nº DE SÉRIE : 606679 
MARCA : TRAEL 
DATA FABRICAÇÃO : 2022 
IMPEDANCIA : 3,01 
POS. TAP : 03 
90070 
NECESSARIO FAZER A SUBST. DO TRAFO NOVAMENTE  
</t>
        </is>
      </c>
    </row>
    <row r="114" ht="30" customHeight="1">
      <c r="A114" s="2" t="inlineStr">
        <is>
          <t>ETO-RD-AG 00023/2026</t>
        </is>
      </c>
      <c r="B114" s="2" t="inlineStr">
        <is>
          <t>jan</t>
        </is>
      </c>
      <c r="C114" s="6" t="inlineStr">
        <is>
          <t>Causa externa ao transformador</t>
        </is>
      </c>
      <c r="D114" s="2" t="inlineStr">
        <is>
          <t>Abalroamento</t>
        </is>
      </c>
      <c r="E114" s="2" t="inlineStr">
        <is>
          <t>EXPURGO</t>
        </is>
      </c>
      <c r="F114" s="2" t="inlineStr">
        <is>
          <t>ABALROAMENTO</t>
        </is>
      </c>
      <c r="G114" s="2" t="inlineStr">
        <is>
          <t>esteira 1.582</t>
        </is>
      </c>
      <c r="H114" s="2" t="inlineStr">
        <is>
          <t>ABALROAMENTO</t>
        </is>
      </c>
      <c r="I114" s="2" t="n">
        <v>5700247131</v>
      </c>
      <c r="J114" s="2" t="inlineStr">
        <is>
          <t>ENC-MLAG01  000007/2026</t>
        </is>
      </c>
      <c r="K114" s="2" t="n">
        <v>662600029</v>
      </c>
      <c r="L114" s="2" t="inlineStr">
        <is>
          <t>2026-01-08 15:02</t>
        </is>
      </c>
      <c r="M114" s="2" t="inlineStr">
        <is>
          <t>2026-01-08 17:57</t>
        </is>
      </c>
      <c r="N114" s="2" t="inlineStr">
        <is>
          <t>AVISO DE ANOMALIA</t>
        </is>
      </c>
      <c r="O114" s="2" t="inlineStr">
        <is>
          <t>ETO-RD-AG</t>
        </is>
      </c>
      <c r="P114" s="2" t="inlineStr">
        <is>
          <t>PRAIA NORTE</t>
        </is>
      </c>
      <c r="Q114" s="2" t="inlineStr">
        <is>
          <t>AVARIADO</t>
        </is>
      </c>
      <c r="R114" s="2" t="inlineStr">
        <is>
          <t>BUCHA DANIFICADA</t>
        </is>
      </c>
      <c r="S114" s="2" t="inlineStr">
        <is>
          <t>173770</t>
        </is>
      </c>
      <c r="T114" s="2" t="n">
        <v>181387</v>
      </c>
      <c r="U114" s="2" t="inlineStr">
        <is>
          <t>sim</t>
        </is>
      </c>
      <c r="V114" s="2" t="n"/>
      <c r="W114" s="2" t="n"/>
      <c r="X114" s="2" t="n"/>
      <c r="Y114" s="2" t="n"/>
      <c r="Z114" s="4" t="inlineStr">
        <is>
          <t>não</t>
        </is>
      </c>
      <c r="AA114" s="4" t="inlineStr">
        <is>
          <t>leitura caso a caso</t>
        </is>
      </c>
      <c r="AB114" s="4" t="inlineStr">
        <is>
          <t>Fora do indicador: o texto atribui o dano a colisão de veículo.</t>
        </is>
      </c>
      <c r="AC114" s="2" t="inlineStr">
        <is>
          <t>TR 5700247131 15 KVACOM VAZAMENTO DEVIDO ABALROAMENTO DO POSTE 19,9KV</t>
        </is>
      </c>
      <c r="AD114" s="2" t="inlineStr">
        <is>
          <t xml:space="preserve">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 
</t>
        </is>
      </c>
    </row>
    <row r="115" ht="30" customHeight="1">
      <c r="A115" s="2" t="inlineStr">
        <is>
          <t>DOLP-RD-PA 00264/2026</t>
        </is>
      </c>
      <c r="B115" s="2" t="inlineStr">
        <is>
          <t>fev</t>
        </is>
      </c>
      <c r="C115" s="6" t="inlineStr">
        <is>
          <t>Causa externa ao transformador</t>
        </is>
      </c>
      <c r="D115" s="2" t="inlineStr">
        <is>
          <t>Abalroamento</t>
        </is>
      </c>
      <c r="E115" s="2" t="inlineStr">
        <is>
          <t>EXPURGO</t>
        </is>
      </c>
      <c r="F115" s="2" t="inlineStr">
        <is>
          <t>QUEIMADO</t>
        </is>
      </c>
      <c r="G115" s="2" t="inlineStr">
        <is>
          <t>esteira 1.582</t>
        </is>
      </c>
      <c r="H115" s="2" t="inlineStr">
        <is>
          <t>ABALROAMENTO</t>
        </is>
      </c>
      <c r="I115" s="2" t="n">
        <v>5761911122</v>
      </c>
      <c r="J115" s="2" t="inlineStr">
        <is>
          <t>DLP-CTPA00  000049/2026</t>
        </is>
      </c>
      <c r="K115" s="2" t="n">
        <v>112600242</v>
      </c>
      <c r="L115" s="2" t="inlineStr">
        <is>
          <t>2026-02-17 14:44</t>
        </is>
      </c>
      <c r="M115" s="2" t="inlineStr">
        <is>
          <t>2026-02-17 19:40</t>
        </is>
      </c>
      <c r="N115" s="2" t="inlineStr">
        <is>
          <t>FORMS SUBST DE TRANSFORMADOR</t>
        </is>
      </c>
      <c r="O115" s="2" t="inlineStr">
        <is>
          <t>DOLP-RD-PA</t>
        </is>
      </c>
      <c r="P115" s="2" t="inlineStr">
        <is>
          <t>PALMAS</t>
        </is>
      </c>
      <c r="Q115" s="2" t="inlineStr">
        <is>
          <t>QUEIMADO</t>
        </is>
      </c>
      <c r="R115" s="2" t="inlineStr">
        <is>
          <t>ABALROADO</t>
        </is>
      </c>
      <c r="S115" s="2" t="inlineStr">
        <is>
          <t>200345</t>
        </is>
      </c>
      <c r="T115" s="2" t="n">
        <v>381663</v>
      </c>
      <c r="U115" s="2" t="inlineStr">
        <is>
          <t>sim</t>
        </is>
      </c>
      <c r="V115" s="2" t="inlineStr">
        <is>
          <t>CONDUTOR DE BT</t>
        </is>
      </c>
      <c r="W115" s="2" t="inlineStr">
        <is>
          <t>ENTRELACADO</t>
        </is>
      </c>
      <c r="X115" s="2" t="inlineStr">
        <is>
          <t>CONDUTOR DE BT</t>
        </is>
      </c>
      <c r="Y115" s="2" t="inlineStr">
        <is>
          <t>ENTRELACADO</t>
        </is>
      </c>
      <c r="Z115" s="4" t="inlineStr">
        <is>
          <t>não</t>
        </is>
      </c>
      <c r="AA115" s="4" t="inlineStr">
        <is>
          <t>leitura caso a caso</t>
        </is>
      </c>
      <c r="AB115" s="4" t="inlineStr">
        <is>
          <t>Fora do indicador: o texto atribui o dano a colisão de veículo.</t>
        </is>
      </c>
      <c r="AC115" s="2" t="inlineStr">
        <is>
          <t>SEGUE SS DE TRAFO 5761911122 QUEIMADO NA RDU DE PALMAS. DEVIDO CAMINHÃO</t>
        </is>
      </c>
      <c r="AD115" s="2" t="inlineStr">
        <is>
          <t>MEDIDO_ 
EMERGENCIAL_ 
SEGUE SS DE TRAFO 5761911122 QUEIMADO NA RDU DE PALMAS. DEVIDO CAMINHÃO 
DADOS DO ATENDIMENTO: 
EQUIPE: 833003 
ENCARREGADO: JOSUE ROSA 
DATA: 17/02/2026 
SS: DOLP-RD-PA 264/2026</t>
        </is>
      </c>
    </row>
    <row r="116" ht="30" customHeight="1">
      <c r="A116" s="2" t="inlineStr">
        <is>
          <t>ETO-RD-AR 00209/2026</t>
        </is>
      </c>
      <c r="B116" s="2" t="inlineStr">
        <is>
          <t>fev</t>
        </is>
      </c>
      <c r="C116" s="6" t="inlineStr">
        <is>
          <t>Causa externa ao transformador</t>
        </is>
      </c>
      <c r="D116" s="2" t="inlineStr">
        <is>
          <t>Abalroamento</t>
        </is>
      </c>
      <c r="E116" s="2" t="inlineStr">
        <is>
          <t>EXPURGO</t>
        </is>
      </c>
      <c r="F116" s="2" t="inlineStr">
        <is>
          <t>ABALROAMENTO</t>
        </is>
      </c>
      <c r="G116" s="2" t="inlineStr">
        <is>
          <t>esteira 1.582</t>
        </is>
      </c>
      <c r="H116" s="2" t="inlineStr">
        <is>
          <t>ABALROAMENTO</t>
        </is>
      </c>
      <c r="I116" s="2" t="n">
        <v>5700777016</v>
      </c>
      <c r="J116" s="2" t="inlineStr">
        <is>
          <t>ENC-MLAR05  000093/2026</t>
        </is>
      </c>
      <c r="K116" s="2" t="n">
        <v>612600142</v>
      </c>
      <c r="L116" s="2" t="inlineStr">
        <is>
          <t>2026-02-02 13:17</t>
        </is>
      </c>
      <c r="M116" s="2" t="inlineStr">
        <is>
          <t>2026-02-04 18:00</t>
        </is>
      </c>
      <c r="N116" s="2" t="inlineStr">
        <is>
          <t>FORMS SUBST DE TRANSFORMADOR</t>
        </is>
      </c>
      <c r="O116" s="2" t="inlineStr">
        <is>
          <t>ETO-RD-AR</t>
        </is>
      </c>
      <c r="P116" s="2" t="inlineStr">
        <is>
          <t>WANDERLANDIA</t>
        </is>
      </c>
      <c r="Q116" s="2" t="inlineStr">
        <is>
          <t>AVARIADO</t>
        </is>
      </c>
      <c r="R116" s="2" t="inlineStr">
        <is>
          <t>ABALROADO</t>
        </is>
      </c>
      <c r="S116" s="2" t="inlineStr">
        <is>
          <t>1408290</t>
        </is>
      </c>
      <c r="T116" s="2" t="n">
        <v>820159</v>
      </c>
      <c r="U116" s="2" t="inlineStr">
        <is>
          <t>sim</t>
        </is>
      </c>
      <c r="V116" s="2" t="n"/>
      <c r="W116" s="2" t="n"/>
      <c r="X116" s="2" t="n"/>
      <c r="Y116" s="2" t="n"/>
      <c r="Z116" s="4" t="inlineStr">
        <is>
          <t>não</t>
        </is>
      </c>
      <c r="AA116" s="4" t="inlineStr">
        <is>
          <t>leitura caso a caso</t>
        </is>
      </c>
      <c r="AB116" s="4" t="inlineStr">
        <is>
          <t>Fora do indicador: a SS está gravada no sistema como abalroamento.</t>
        </is>
      </c>
      <c r="AC116" s="2" t="inlineStr">
        <is>
          <t>TROCA DO POSTE ID 63250681E DO TRAFO 570077701611/200 TROCA DE CABO DO VÃO DA CH 0300777016 ATÉ O TRAFO 5700777016. APROXIMADAMENTE VÃO DE 140MCABO: AA / 4TRAFO DE 15KVA , 34,5KVESTRUTURA U3/S3/S31 POSTE INCLINADO</t>
        </is>
      </c>
      <c r="AD116" s="2" t="inlineStr">
        <is>
          <t xml:space="preserve">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 
</t>
        </is>
      </c>
    </row>
    <row r="117" ht="30" customHeight="1">
      <c r="A117" s="2" t="inlineStr">
        <is>
          <t>DG-RD-PO 00436/2026</t>
        </is>
      </c>
      <c r="B117" s="2" t="inlineStr">
        <is>
          <t>jun</t>
        </is>
      </c>
      <c r="C117" s="6" t="inlineStr">
        <is>
          <t>Causa externa ao transformador</t>
        </is>
      </c>
      <c r="D117" s="2" t="inlineStr">
        <is>
          <t>Abalroamento</t>
        </is>
      </c>
      <c r="E117" s="2" t="inlineStr">
        <is>
          <t>EXPURGO</t>
        </is>
      </c>
      <c r="F117" s="2" t="inlineStr">
        <is>
          <t>ABALROAMENTO</t>
        </is>
      </c>
      <c r="G117" s="2" t="inlineStr">
        <is>
          <t>esteira 1.582</t>
        </is>
      </c>
      <c r="H117" s="2" t="inlineStr">
        <is>
          <t>ABALROAMENTO</t>
        </is>
      </c>
      <c r="I117" s="2" t="n">
        <v>5721874257</v>
      </c>
      <c r="J117" s="2" t="inlineStr">
        <is>
          <t>DG-MPDG01  000107/2026</t>
        </is>
      </c>
      <c r="K117" s="2" t="n">
        <v>312600347</v>
      </c>
      <c r="L117" s="2" t="inlineStr">
        <is>
          <t>2026-06-26 13:49</t>
        </is>
      </c>
      <c r="M117" s="2" t="inlineStr">
        <is>
          <t>2026-06-27 21:30</t>
        </is>
      </c>
      <c r="N117" s="2" t="inlineStr">
        <is>
          <t>FORMS SUBST DE TRANSFORMADOR</t>
        </is>
      </c>
      <c r="O117" s="2" t="inlineStr">
        <is>
          <t>DG-RD-PO</t>
        </is>
      </c>
      <c r="P117" s="2" t="inlineStr">
        <is>
          <t>SAO FELIX DO TOCANTINS</t>
        </is>
      </c>
      <c r="Q117" s="2" t="n"/>
      <c r="R117" s="2" t="inlineStr">
        <is>
          <t>ABALROADO</t>
        </is>
      </c>
      <c r="S117" s="2" t="inlineStr">
        <is>
          <t>60181</t>
        </is>
      </c>
      <c r="T117" s="2" t="n">
        <v>150837</v>
      </c>
      <c r="U117" s="2" t="inlineStr">
        <is>
          <t>sim</t>
        </is>
      </c>
      <c r="V117" s="2" t="inlineStr">
        <is>
          <t>POSTE DE BT</t>
        </is>
      </c>
      <c r="W117" s="2" t="inlineStr">
        <is>
          <t>ABALROADO</t>
        </is>
      </c>
      <c r="X117" s="2" t="inlineStr">
        <is>
          <t>POSTE DE BT</t>
        </is>
      </c>
      <c r="Y117" s="2" t="inlineStr">
        <is>
          <t>ABALROADO</t>
        </is>
      </c>
      <c r="Z117" s="4" t="inlineStr">
        <is>
          <t>não</t>
        </is>
      </c>
      <c r="AA117" s="4" t="inlineStr">
        <is>
          <t>leitura caso a caso</t>
        </is>
      </c>
      <c r="AB117" s="4" t="inlineStr">
        <is>
          <t>Fora do indicador: a SS está gravada no sistema como abalroamento.</t>
        </is>
      </c>
      <c r="AC117" s="2" t="inlineStr">
        <is>
          <t>Trafo 15 Kva ,5721874257 esta com buxa secundaria danificada 100 metro de cabo 25mm bifasico, 02 poste 10/150 quebrado</t>
        </is>
      </c>
      <c r="AD117" s="2" t="inlineStr">
        <is>
          <t xml:space="preserve">medido_ 
emergencial_ 
substituição de trafo bucha quebrada e 02 poste quebrado  
</t>
        </is>
      </c>
    </row>
    <row r="118" ht="30" customHeight="1">
      <c r="A118" s="2" t="inlineStr">
        <is>
          <t>ENC-RD-PS 00606/2026</t>
        </is>
      </c>
      <c r="B118" s="2" t="inlineStr">
        <is>
          <t>jun</t>
        </is>
      </c>
      <c r="C118" s="6" t="inlineStr">
        <is>
          <t>Causa externa ao transformador</t>
        </is>
      </c>
      <c r="D118" s="2" t="inlineStr">
        <is>
          <t>Abalroamento</t>
        </is>
      </c>
      <c r="E118" s="2" t="inlineStr">
        <is>
          <t>EXPURGO</t>
        </is>
      </c>
      <c r="F118" s="2" t="inlineStr">
        <is>
          <t>ABALROAMENTO</t>
        </is>
      </c>
      <c r="G118" s="2" t="inlineStr">
        <is>
          <t>esteira 1.582</t>
        </is>
      </c>
      <c r="H118" s="2" t="inlineStr">
        <is>
          <t>ABALROAMENTO</t>
        </is>
      </c>
      <c r="I118" s="2" t="n">
        <v>5702266007</v>
      </c>
      <c r="J118" s="2" t="inlineStr">
        <is>
          <t>ENC-LMPS01  000156/2026</t>
        </is>
      </c>
      <c r="K118" s="2" t="n">
        <v>212600559</v>
      </c>
      <c r="L118" s="2" t="inlineStr">
        <is>
          <t>2026-06-30 14:44</t>
        </is>
      </c>
      <c r="M118" s="2" t="inlineStr">
        <is>
          <t>2026-06-30 02:31</t>
        </is>
      </c>
      <c r="N118" s="2" t="inlineStr">
        <is>
          <t>FORMS SUBST DE TRANSFORMADOR</t>
        </is>
      </c>
      <c r="O118" s="2" t="inlineStr">
        <is>
          <t>ENC-RD-PS</t>
        </is>
      </c>
      <c r="P118" s="2" t="inlineStr">
        <is>
          <t>MIRACEMA DO TOCANTINS</t>
        </is>
      </c>
      <c r="Q118" s="2" t="inlineStr">
        <is>
          <t>QUEIMADO</t>
        </is>
      </c>
      <c r="R118" s="2" t="inlineStr">
        <is>
          <t>ABALROADO</t>
        </is>
      </c>
      <c r="S118" s="2" t="inlineStr">
        <is>
          <t>107284</t>
        </is>
      </c>
      <c r="T118" s="2" t="n">
        <v>502527</v>
      </c>
      <c r="U118" s="2" t="inlineStr">
        <is>
          <t>sim</t>
        </is>
      </c>
      <c r="V118" s="2" t="inlineStr">
        <is>
          <t>CAUSADA POR TERCEIROS</t>
        </is>
      </c>
      <c r="W118" s="2" t="inlineStr">
        <is>
          <t>VANDALISMO</t>
        </is>
      </c>
      <c r="X118" s="2" t="inlineStr">
        <is>
          <t>CAUSADA POR TERCEIROS</t>
        </is>
      </c>
      <c r="Y118" s="2" t="inlineStr">
        <is>
          <t>VANDALISMO</t>
        </is>
      </c>
      <c r="Z118" s="4" t="inlineStr">
        <is>
          <t>não</t>
        </is>
      </c>
      <c r="AA118" s="4" t="inlineStr">
        <is>
          <t>leitura caso a caso</t>
        </is>
      </c>
      <c r="AB118" s="4" t="inlineStr">
        <is>
          <t>Fora do indicador: a SS está gravada no sistema como abalroamento.</t>
        </is>
      </c>
      <c r="AC118" s="2" t="inlineStr">
        <is>
          <t>Segue nota de Trafo queimado 5702266007 5KVA, e poste quebrado na mesma estrutura 10/300 do trafo N-1 /S1 ,TRAFO FICA LOCALIZADO ANTES DA DERIVAÇÃO DA CHAVE 0300139007</t>
        </is>
      </c>
      <c r="AD118" s="2" t="inlineStr">
        <is>
          <t xml:space="preserve">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 
</t>
        </is>
      </c>
    </row>
    <row r="119" ht="180" customHeight="1">
      <c r="A119" s="2" t="inlineStr">
        <is>
          <t>ETO-RD-GU 00685/2026</t>
        </is>
      </c>
      <c r="B119" s="2" t="inlineStr">
        <is>
          <t>jun</t>
        </is>
      </c>
      <c r="C119" s="6" t="inlineStr">
        <is>
          <t>Causa externa ao transformador</t>
        </is>
      </c>
      <c r="D119" s="2" t="inlineStr">
        <is>
          <t>Abalroamento</t>
        </is>
      </c>
      <c r="E119" s="2" t="inlineStr">
        <is>
          <t>EXPURGO</t>
        </is>
      </c>
      <c r="F119" s="2" t="inlineStr">
        <is>
          <t>QUEIMADO</t>
        </is>
      </c>
      <c r="G119" s="2" t="inlineStr">
        <is>
          <t>esteira 1.582</t>
        </is>
      </c>
      <c r="H119" s="2" t="inlineStr">
        <is>
          <t>ABALROAMENTO</t>
        </is>
      </c>
      <c r="I119" s="2" t="n">
        <v>5700858029</v>
      </c>
      <c r="J119" s="2" t="inlineStr">
        <is>
          <t>DBM-MLDB04  000094/2026</t>
        </is>
      </c>
      <c r="K119" s="2" t="n">
        <v>412600528</v>
      </c>
      <c r="L119" s="2" t="inlineStr">
        <is>
          <t>2026-06-29 21:50</t>
        </is>
      </c>
      <c r="M119" s="2" t="inlineStr">
        <is>
          <t>2026-07-01 16:04</t>
        </is>
      </c>
      <c r="N119" s="2" t="inlineStr">
        <is>
          <t>FORMS SUBST DE TRANSFORMADOR</t>
        </is>
      </c>
      <c r="O119" s="2" t="inlineStr">
        <is>
          <t>ETO-RD-GU</t>
        </is>
      </c>
      <c r="P119" s="2" t="inlineStr">
        <is>
          <t>PALMEIROPOLIS</t>
        </is>
      </c>
      <c r="Q119" s="2" t="inlineStr">
        <is>
          <t>QUEIMADO</t>
        </is>
      </c>
      <c r="R119" s="2" t="inlineStr">
        <is>
          <t>ABALROADO</t>
        </is>
      </c>
      <c r="S119" s="2" t="inlineStr">
        <is>
          <t>696358</t>
        </is>
      </c>
      <c r="T119" s="2" t="n"/>
      <c r="U119" s="2" t="inlineStr">
        <is>
          <t>não</t>
        </is>
      </c>
      <c r="V119" s="2" t="inlineStr">
        <is>
          <t>POSTE DE AT</t>
        </is>
      </c>
      <c r="W119" s="2" t="inlineStr">
        <is>
          <t>ABALROADO</t>
        </is>
      </c>
      <c r="X119" s="2" t="inlineStr">
        <is>
          <t>POSTE DE AT</t>
        </is>
      </c>
      <c r="Y119" s="2" t="inlineStr">
        <is>
          <t>ABALROADO</t>
        </is>
      </c>
      <c r="Z119" s="4" t="inlineStr">
        <is>
          <t>não</t>
        </is>
      </c>
      <c r="AA119" s="4" t="inlineStr">
        <is>
          <t>leitura caso a caso</t>
        </is>
      </c>
      <c r="AB119" s="4"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AC119" s="2" t="inlineStr">
        <is>
          <t>Segue nota para substuiçao de poste 10/300 ID 56140072 e transformador 5700858029 asseço livre trafo de 05kva tensao 34,5 kv</t>
        </is>
      </c>
      <c r="AD119" s="2" t="inlineStr">
        <is>
          <t xml:space="preserve">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 
</t>
        </is>
      </c>
    </row>
    <row r="120" ht="75" customHeight="1">
      <c r="A120" s="2" t="inlineStr">
        <is>
          <t>ETO-RD-GU 00696/2026</t>
        </is>
      </c>
      <c r="B120" s="2" t="inlineStr">
        <is>
          <t>jul</t>
        </is>
      </c>
      <c r="C120" s="6" t="inlineStr">
        <is>
          <t>Causa externa ao transformador</t>
        </is>
      </c>
      <c r="D120" s="2" t="inlineStr">
        <is>
          <t>Abalroamento</t>
        </is>
      </c>
      <c r="E120" s="2" t="inlineStr">
        <is>
          <t>EXPURGO</t>
        </is>
      </c>
      <c r="F120" s="2" t="inlineStr">
        <is>
          <t>ABALROAMENTO</t>
        </is>
      </c>
      <c r="G120" s="2" t="inlineStr">
        <is>
          <t>leitura do texto (jan–ago)</t>
        </is>
      </c>
      <c r="H120" s="2" t="inlineStr">
        <is>
          <t>ABALROAMENTO</t>
        </is>
      </c>
      <c r="I120" s="2" t="n">
        <v>5710509094</v>
      </c>
      <c r="J120" s="2" t="inlineStr">
        <is>
          <t>DBM-MLDB04  000098/2026</t>
        </is>
      </c>
      <c r="K120" s="2" t="n">
        <v>412600541</v>
      </c>
      <c r="L120" s="2" t="inlineStr">
        <is>
          <t>2026-07-05 10:11</t>
        </is>
      </c>
      <c r="M120" s="2" t="inlineStr">
        <is>
          <t>2026-07-06 14:43</t>
        </is>
      </c>
      <c r="N120" s="2" t="inlineStr">
        <is>
          <t>FORMS SUBST DE TRANSFORMADOR</t>
        </is>
      </c>
      <c r="O120" s="2" t="inlineStr">
        <is>
          <t>ETO-RD-GU</t>
        </is>
      </c>
      <c r="P120" s="2" t="inlineStr">
        <is>
          <t>PEIXE</t>
        </is>
      </c>
      <c r="Q120" s="2" t="inlineStr">
        <is>
          <t>AVARIADO</t>
        </is>
      </c>
      <c r="R120" s="2" t="inlineStr">
        <is>
          <t>ABALROADO</t>
        </is>
      </c>
      <c r="S120" s="2" t="inlineStr">
        <is>
          <t>1004589</t>
        </is>
      </c>
      <c r="T120" s="2" t="n">
        <v>827994</v>
      </c>
      <c r="U120" s="2" t="inlineStr">
        <is>
          <t>sim</t>
        </is>
      </c>
      <c r="V120" s="2" t="n"/>
      <c r="W120" s="2" t="n"/>
      <c r="X120" s="2" t="n"/>
      <c r="Y120" s="2" t="n"/>
      <c r="Z120" s="4" t="inlineStr">
        <is>
          <t>não</t>
        </is>
      </c>
      <c r="AA120" s="4" t="inlineStr">
        <is>
          <t>leitura caso a caso</t>
        </is>
      </c>
      <c r="AB120" s="4" t="inlineStr">
        <is>
          <t>Troca motivada por poste abalroado — causa externa, não falha do equipamento. O campo confirma o motivo (ABALROADO) e não aponta vazamento. Não houve conferência na base de interrupção (julho não carregado).</t>
        </is>
      </c>
      <c r="AC120" s="2" t="inlineStr">
        <is>
          <t>Segue Solicitação de Serviço para substituição de transformador que teve o poste abalroado.Transformador: 5710509094Obs: Levar estrutura completaAcesso Livre</t>
        </is>
      </c>
      <c r="AD120" s="2"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121" ht="195" customHeight="1">
      <c r="A121" s="2" t="inlineStr">
        <is>
          <t>DG-RD-PO 00127/2026</t>
        </is>
      </c>
      <c r="B121" s="2" t="inlineStr">
        <is>
          <t>jan</t>
        </is>
      </c>
      <c r="C121" s="6" t="inlineStr">
        <is>
          <t>Causa externa ao transformador</t>
        </is>
      </c>
      <c r="D121" s="2" t="inlineStr">
        <is>
          <t>Dano de terceiros</t>
        </is>
      </c>
      <c r="E121" s="2" t="inlineStr">
        <is>
          <t>EXPURGO</t>
        </is>
      </c>
      <c r="F121" s="2" t="inlineStr">
        <is>
          <t>QUEIMADO</t>
        </is>
      </c>
      <c r="G121" s="2" t="inlineStr">
        <is>
          <t>esteira 1.582</t>
        </is>
      </c>
      <c r="H121" s="2" t="inlineStr">
        <is>
          <t>DANO DE TERCEIROS</t>
        </is>
      </c>
      <c r="I121" s="2" t="n">
        <v>5700581043</v>
      </c>
      <c r="J121" s="2" t="inlineStr">
        <is>
          <t>DG-MPDG01  000045/2026</t>
        </is>
      </c>
      <c r="K121" s="2" t="n">
        <v>312600108</v>
      </c>
      <c r="L121" s="2" t="inlineStr">
        <is>
          <t>2026-01-30 18:00</t>
        </is>
      </c>
      <c r="M121" s="2" t="inlineStr">
        <is>
          <t>2026-02-01 16:38</t>
        </is>
      </c>
      <c r="N121" s="2" t="inlineStr">
        <is>
          <t>FORMS SUBST DE TRANSFORMADOR</t>
        </is>
      </c>
      <c r="O121" s="2" t="inlineStr">
        <is>
          <t>DG-RD-PO</t>
        </is>
      </c>
      <c r="P121" s="2" t="inlineStr">
        <is>
          <t>SILVANOPOLIS</t>
        </is>
      </c>
      <c r="Q121" s="2" t="inlineStr">
        <is>
          <t>QUEIMADO</t>
        </is>
      </c>
      <c r="R121" s="2" t="inlineStr">
        <is>
          <t>VANDALISMO</t>
        </is>
      </c>
      <c r="S121" s="2" t="inlineStr">
        <is>
          <t>723966</t>
        </is>
      </c>
      <c r="T121" s="2" t="n">
        <v>820260</v>
      </c>
      <c r="U121" s="2" t="inlineStr">
        <is>
          <t>sim</t>
        </is>
      </c>
      <c r="V121" s="2" t="inlineStr">
        <is>
          <t>CAUSADA POR TERCEIROS</t>
        </is>
      </c>
      <c r="W121" s="2" t="inlineStr">
        <is>
          <t>INTERVENCAO NA REDE SEM AUTORIZACAO</t>
        </is>
      </c>
      <c r="X121" s="2" t="n"/>
      <c r="Y121" s="2" t="n"/>
      <c r="Z121" s="4" t="inlineStr">
        <is>
          <t>SIM</t>
        </is>
      </c>
      <c r="AA121" s="4" t="inlineStr">
        <is>
          <t>leitura caso a caso</t>
        </is>
      </c>
      <c r="AB121" s="4"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AC121" s="2" t="inlineStr">
        <is>
          <t>INT: 20264106798194Segue SS de TR 5700581043 5KVA/19.9 e para-raios queimados.Acesso livre.UC 10231930FAZENDA UNIAO II63 99104-0797DANIEL PEREIRA PAIXAO152OP01 63 8413-9467</t>
        </is>
      </c>
      <c r="AD121" s="2" t="inlineStr">
        <is>
          <t xml:space="preserve">medido_ 
emergenciall_ 
INT: 20264106798194 
Segue SS de TR 5700581043 5KVA/19.9 e para-raios queimados. 
Acesso livre. 
UC 10231930 
FAZENDA UNIAO II 
63 99104-0797 
DANIEL PEREIRA PAIXAO 
152OP01 63 8413-9467 
</t>
        </is>
      </c>
    </row>
    <row r="122" ht="30" customHeight="1">
      <c r="A122" s="2" t="inlineStr">
        <is>
          <t>DG-RD-PO 00025/2026</t>
        </is>
      </c>
      <c r="B122" s="2" t="inlineStr">
        <is>
          <t>jan</t>
        </is>
      </c>
      <c r="C122" s="6" t="inlineStr">
        <is>
          <t>Causa externa ao transformador</t>
        </is>
      </c>
      <c r="D122" s="2" t="inlineStr">
        <is>
          <t>Erro de cadastro</t>
        </is>
      </c>
      <c r="E122" s="2" t="inlineStr">
        <is>
          <t>EXPURGO</t>
        </is>
      </c>
      <c r="F122" s="2" t="inlineStr">
        <is>
          <t>QUEIMADO</t>
        </is>
      </c>
      <c r="G122" s="2" t="inlineStr">
        <is>
          <t>esteira 1.582</t>
        </is>
      </c>
      <c r="H122" s="2" t="inlineStr">
        <is>
          <t>ERRO DE CADASTRO — NÃO É TRANSFORMADOR</t>
        </is>
      </c>
      <c r="I122" s="2" t="n">
        <v>4211178035</v>
      </c>
      <c r="J122" s="2" t="inlineStr">
        <is>
          <t>DG-MLPO01  000008/2026</t>
        </is>
      </c>
      <c r="K122" s="2" t="n">
        <v>312600016</v>
      </c>
      <c r="L122" s="2" t="inlineStr">
        <is>
          <t>2026-01-04 20:54</t>
        </is>
      </c>
      <c r="M122" s="2" t="inlineStr">
        <is>
          <t>2026-01-05 12:50</t>
        </is>
      </c>
      <c r="N122" s="2" t="inlineStr">
        <is>
          <t>FORMS SUBST DE TRANSFORMADOR</t>
        </is>
      </c>
      <c r="O122" s="2" t="inlineStr">
        <is>
          <t>DG-RD-PO</t>
        </is>
      </c>
      <c r="P122" s="2" t="inlineStr">
        <is>
          <t>MONTE DO CARMO</t>
        </is>
      </c>
      <c r="Q122" s="2" t="inlineStr">
        <is>
          <t>QUEIMADO</t>
        </is>
      </c>
      <c r="R122" s="2" t="inlineStr">
        <is>
          <t>DESCARGA ATMOSFÉRICA</t>
        </is>
      </c>
      <c r="S122" s="2" t="inlineStr">
        <is>
          <t>186215</t>
        </is>
      </c>
      <c r="T122" s="2" t="n">
        <v>1622886</v>
      </c>
      <c r="U122" s="2" t="inlineStr">
        <is>
          <t>sim</t>
        </is>
      </c>
      <c r="V122" s="2" t="inlineStr">
        <is>
          <t>TRANSFORMADOR</t>
        </is>
      </c>
      <c r="W122" s="2" t="inlineStr">
        <is>
          <t>QUEIMADO POR DESCARGA ATMOSFERICA</t>
        </is>
      </c>
      <c r="X122" s="2" t="inlineStr">
        <is>
          <t>TRANSFORMADOR</t>
        </is>
      </c>
      <c r="Y122" s="2" t="inlineStr">
        <is>
          <t>QUEIMADO POR DESCARGA ATMOSFERICA</t>
        </is>
      </c>
      <c r="Z122" s="4" t="inlineStr">
        <is>
          <t>SIM</t>
        </is>
      </c>
      <c r="AA122" s="4" t="inlineStr">
        <is>
          <t>leitura caso a caso</t>
        </is>
      </c>
      <c r="AB122" s="4" t="inlineStr">
        <is>
          <t>Fora do indicador: o código do ativo não é de transformador — não começa com 52, 53 ou 57.</t>
        </is>
      </c>
      <c r="AC122" s="2" t="inlineStr">
        <is>
          <t>Trafo 4211178035 de 15kva e para-raio queimado, Tensão 7,9kv, Acesso para camionete 4x4, Rural de Monte do Carmo faz. IND FAZENDA COFRE DE OURO, 0 - FAZENDA PROVIDENCIA DIVINA.</t>
        </is>
      </c>
      <c r="AD122" s="2" t="inlineStr">
        <is>
          <t xml:space="preserve">medido_ 
emergencial_ 
substituição de trafo queimado rdr monte do carmo 
</t>
        </is>
      </c>
    </row>
    <row r="123" ht="30" customHeight="1">
      <c r="A123" s="2" t="inlineStr">
        <is>
          <t>ETO-RD-GR 00205/2026</t>
        </is>
      </c>
      <c r="B123" s="2" t="inlineStr">
        <is>
          <t>fev</t>
        </is>
      </c>
      <c r="C123" s="6" t="inlineStr">
        <is>
          <t>Causa externa ao transformador</t>
        </is>
      </c>
      <c r="D123" s="2" t="inlineStr">
        <is>
          <t>Erro de cadastro</t>
        </is>
      </c>
      <c r="E123" s="2" t="inlineStr">
        <is>
          <t>EXPURGO</t>
        </is>
      </c>
      <c r="F123" s="2" t="inlineStr">
        <is>
          <t>QUEIMADO</t>
        </is>
      </c>
      <c r="G123" s="2" t="inlineStr">
        <is>
          <t>esteira 1.582</t>
        </is>
      </c>
      <c r="H123" s="2" t="inlineStr">
        <is>
          <t>ERRO DE CADASTRO — NÃO É TRANSFORMADOR</t>
        </is>
      </c>
      <c r="I123" s="2" t="n">
        <v>5700299024</v>
      </c>
      <c r="J123" s="2" t="inlineStr">
        <is>
          <t>ETO-RD-GR  000276/2026</t>
        </is>
      </c>
      <c r="K123" s="2" t="n">
        <v>712600138</v>
      </c>
      <c r="L123" s="2" t="inlineStr">
        <is>
          <t>2026-02-08 10:49</t>
        </is>
      </c>
      <c r="M123" s="2" t="inlineStr">
        <is>
          <t>2026-02-09 17:29</t>
        </is>
      </c>
      <c r="N123" s="2" t="inlineStr">
        <is>
          <t>FORMS SUBST DE TRANSFORMADOR</t>
        </is>
      </c>
      <c r="O123" s="2" t="inlineStr">
        <is>
          <t>ETO-RD-GR</t>
        </is>
      </c>
      <c r="P123" s="2" t="inlineStr">
        <is>
          <t>ITAPORA DO TOCANTINS</t>
        </is>
      </c>
      <c r="Q123" s="2" t="inlineStr">
        <is>
          <t>QUEIMADO</t>
        </is>
      </c>
      <c r="R123" s="2" t="inlineStr">
        <is>
          <t>DESCARGA ATMOSFÉRICA</t>
        </is>
      </c>
      <c r="S123" s="2" t="n"/>
      <c r="T123" s="2" t="n"/>
      <c r="U123" s="2" t="inlineStr">
        <is>
          <t>não</t>
        </is>
      </c>
      <c r="V123" s="2" t="n"/>
      <c r="W123" s="2" t="n"/>
      <c r="X123" s="2" t="inlineStr">
        <is>
          <t>TRANSFORMADOR</t>
        </is>
      </c>
      <c r="Y123" s="2" t="inlineStr">
        <is>
          <t>QUEIMADO POR DESCARGA ATMOSFERICA</t>
        </is>
      </c>
      <c r="Z123" s="4" t="inlineStr">
        <is>
          <t>SIM</t>
        </is>
      </c>
      <c r="AA123" s="4" t="inlineStr">
        <is>
          <t>leitura caso a caso</t>
        </is>
      </c>
      <c r="AB123" s="4" t="inlineStr">
        <is>
          <t>Fora do indicador: possível erro de cadastro do código do ativo.</t>
        </is>
      </c>
      <c r="AC123" s="2" t="inlineStr">
        <is>
          <t>TR-5700299024 QueimadoNO CADASTRO DIZ QUE É O TRAFO 5700036153, POREM EM CAMPO É O TRAFO 5700299024para raios bompotência 15kvatensão 13,8kvacesso livreequipe 154op01 tel-992674347</t>
        </is>
      </c>
      <c r="AD123" s="2" t="inlineStr">
        <is>
          <t>TR-5700299024 Queimado 
NO CADASTRO DIZ QUE É O TRAFO 5700036153, POREM EM CAMPO É O TRAFO 5700299024 
para raios bom 
potência 15kva 
tensão 13,8kv 
acesso livre 
equipe 154op01 tel-992674347</t>
        </is>
      </c>
    </row>
    <row r="124" ht="60" customHeight="1">
      <c r="A124" s="2" t="inlineStr">
        <is>
          <t>ETO-RD-AG 00026/2026</t>
        </is>
      </c>
      <c r="B124" s="2" t="inlineStr">
        <is>
          <t>jan</t>
        </is>
      </c>
      <c r="C124" s="6" t="inlineStr">
        <is>
          <t>Causa externa ao transformador</t>
        </is>
      </c>
      <c r="D124" s="2" t="inlineStr">
        <is>
          <t>Falta de fase</t>
        </is>
      </c>
      <c r="E124" s="2" t="inlineStr">
        <is>
          <t>EXPURGO</t>
        </is>
      </c>
      <c r="F124" s="2" t="inlineStr">
        <is>
          <t>QUEIMADO</t>
        </is>
      </c>
      <c r="G124" s="2" t="inlineStr">
        <is>
          <t>esteira 1.582</t>
        </is>
      </c>
      <c r="H124" s="2" t="inlineStr">
        <is>
          <t>FALTA DE FASE</t>
        </is>
      </c>
      <c r="I124" s="2" t="n">
        <v>5713185081</v>
      </c>
      <c r="J124" s="2" t="inlineStr">
        <is>
          <t>ENC-MLAG01  000008/2026</t>
        </is>
      </c>
      <c r="K124" s="2" t="n">
        <v>662600031</v>
      </c>
      <c r="L124" s="2" t="inlineStr">
        <is>
          <t>2026-01-08 21:39</t>
        </is>
      </c>
      <c r="M124" s="2" t="inlineStr">
        <is>
          <t>2026-01-09 19:54</t>
        </is>
      </c>
      <c r="N124" s="2" t="inlineStr">
        <is>
          <t>AVISO DE ANOMALIA</t>
        </is>
      </c>
      <c r="O124" s="2" t="inlineStr">
        <is>
          <t>ETO-RD-AG</t>
        </is>
      </c>
      <c r="P124" s="2" t="inlineStr">
        <is>
          <t>ITAGUATINS</t>
        </is>
      </c>
      <c r="Q124" s="2" t="inlineStr">
        <is>
          <t>AVARIADO</t>
        </is>
      </c>
      <c r="R124" s="2" t="inlineStr">
        <is>
          <t>BUCHA DANIFICADA</t>
        </is>
      </c>
      <c r="S124" s="2" t="inlineStr">
        <is>
          <t>343246</t>
        </is>
      </c>
      <c r="T124" s="2" t="n"/>
      <c r="U124" s="2" t="inlineStr">
        <is>
          <t>não</t>
        </is>
      </c>
      <c r="V124" s="2" t="n"/>
      <c r="W124" s="2" t="n"/>
      <c r="X124" s="2" t="n"/>
      <c r="Y124" s="2" t="n"/>
      <c r="Z124" s="4" t="inlineStr">
        <is>
          <t>não</t>
        </is>
      </c>
      <c r="AA124" s="4" t="inlineStr">
        <is>
          <t>leitura caso a caso</t>
        </is>
      </c>
      <c r="AB124" s="4" t="inlineStr">
        <is>
          <t>Fora do indicador: o texto declara falta de fase interna, e a troca foi executada como plano de medida com aumento de potência — o defeito existiu, mas a decisão foi de capacidade.</t>
        </is>
      </c>
      <c r="AC124" s="2" t="inlineStr">
        <is>
          <t>TR 5713185081 FALTANDO FASE INTERNA, SAINDO SOMENTE FASE BPOT. 15KVA TENSÃO 13,8KV PARA-RAIO RUIMACESSO SOMENTE DE BARCO FICA NA ILHA EM ITAGUATINS 081OP01 SABE LOCAL</t>
        </is>
      </c>
      <c r="AD124" s="2" t="inlineStr">
        <is>
          <t xml:space="preserve">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 
</t>
        </is>
      </c>
    </row>
    <row r="125" ht="60" customHeight="1">
      <c r="A125" s="2" t="inlineStr">
        <is>
          <t>ETO-RD-AG 00042/2026</t>
        </is>
      </c>
      <c r="B125" s="2" t="inlineStr">
        <is>
          <t>jan</t>
        </is>
      </c>
      <c r="C125" s="6" t="inlineStr">
        <is>
          <t>Causa externa ao transformador</t>
        </is>
      </c>
      <c r="D125" s="2" t="inlineStr">
        <is>
          <t>Falta de fase</t>
        </is>
      </c>
      <c r="E125" s="2" t="inlineStr">
        <is>
          <t>EXPURGO</t>
        </is>
      </c>
      <c r="F125" s="2" t="inlineStr">
        <is>
          <t>AVARIADO</t>
        </is>
      </c>
      <c r="G125" s="2" t="inlineStr">
        <is>
          <t>esteira 1.582</t>
        </is>
      </c>
      <c r="H125" s="2" t="inlineStr">
        <is>
          <t>FALTA DE FASE</t>
        </is>
      </c>
      <c r="I125" s="2" t="n">
        <v>5701235130</v>
      </c>
      <c r="J125" s="2" t="inlineStr">
        <is>
          <t>ETO-RD-AG  000036/2026</t>
        </is>
      </c>
      <c r="K125" s="2" t="n">
        <v>662600039</v>
      </c>
      <c r="L125" s="2" t="inlineStr">
        <is>
          <t>2026-01-12 22:16</t>
        </is>
      </c>
      <c r="M125" s="2" t="inlineStr">
        <is>
          <t>2026-01-13 13:01</t>
        </is>
      </c>
      <c r="N125" s="2" t="inlineStr">
        <is>
          <t>AVISO DE ANOMALIA</t>
        </is>
      </c>
      <c r="O125" s="2" t="inlineStr">
        <is>
          <t>ETO-RD-AG</t>
        </is>
      </c>
      <c r="P125" s="2" t="inlineStr">
        <is>
          <t>SAO MIGUEL DO TOCANTINS</t>
        </is>
      </c>
      <c r="Q125" s="2" t="inlineStr">
        <is>
          <t>AVARIADO</t>
        </is>
      </c>
      <c r="R125" s="2" t="inlineStr">
        <is>
          <t>BUCHA DANIFICADA</t>
        </is>
      </c>
      <c r="S125" s="2" t="inlineStr">
        <is>
          <t>4675</t>
        </is>
      </c>
      <c r="T125" s="2" t="n"/>
      <c r="U125" s="2" t="inlineStr">
        <is>
          <t>não</t>
        </is>
      </c>
      <c r="V125" s="2" t="inlineStr">
        <is>
          <t>DESLIGAMENTO SEM PROGRAMACAO PREVIA</t>
        </is>
      </c>
      <c r="W125" s="2" t="inlineStr">
        <is>
          <t>RD DE AT</t>
        </is>
      </c>
      <c r="X125" s="2" t="n"/>
      <c r="Y125" s="2" t="n"/>
      <c r="Z125" s="4" t="inlineStr">
        <is>
          <t>não</t>
        </is>
      </c>
      <c r="AA125" s="4" t="inlineStr">
        <is>
          <t>leitura caso a caso</t>
        </is>
      </c>
      <c r="AB125" s="4" t="inlineStr">
        <is>
          <t>Fora do indicador: o texto declara falta de fase interna, e a troca foi executada como plano de medida com aumento de potência — o defeito existiu, mas a decisão foi de capacidade.</t>
        </is>
      </c>
      <c r="AC125" s="2" t="inlineStr">
        <is>
          <t>trafo com falta de fase interna</t>
        </is>
      </c>
      <c r="AD125" s="2" t="inlineStr">
        <is>
          <t xml:space="preserve">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 
</t>
        </is>
      </c>
    </row>
    <row r="126" ht="30" customHeight="1">
      <c r="A126" s="2" t="inlineStr">
        <is>
          <t>DG-RD-PO 00076/2026</t>
        </is>
      </c>
      <c r="B126" s="2" t="inlineStr">
        <is>
          <t>jan</t>
        </is>
      </c>
      <c r="C126" s="6" t="inlineStr">
        <is>
          <t>Causa externa ao transformador</t>
        </is>
      </c>
      <c r="D126" s="2" t="inlineStr">
        <is>
          <t>Furto</t>
        </is>
      </c>
      <c r="E126" s="2" t="inlineStr">
        <is>
          <t>EXPURGO</t>
        </is>
      </c>
      <c r="F126" s="2" t="inlineStr">
        <is>
          <t>FURTADO</t>
        </is>
      </c>
      <c r="G126" s="2" t="inlineStr">
        <is>
          <t>esteira 1.582</t>
        </is>
      </c>
      <c r="H126" s="2" t="inlineStr">
        <is>
          <t>FURTO</t>
        </is>
      </c>
      <c r="I126" s="2" t="n">
        <v>5700236001</v>
      </c>
      <c r="J126" s="2" t="inlineStr">
        <is>
          <t>DG-MPPO01  000023/2026</t>
        </is>
      </c>
      <c r="K126" s="2" t="n">
        <v>312600094</v>
      </c>
      <c r="L126" s="2" t="inlineStr">
        <is>
          <t>2026-01-20 08:33</t>
        </is>
      </c>
      <c r="M126" s="2" t="inlineStr">
        <is>
          <t>2026-01-20 14:14</t>
        </is>
      </c>
      <c r="N126" s="2" t="inlineStr">
        <is>
          <t>FORMS SUBST DE TRANSFORMADOR</t>
        </is>
      </c>
      <c r="O126" s="2" t="inlineStr">
        <is>
          <t>DG-RD-PO</t>
        </is>
      </c>
      <c r="P126" s="2" t="inlineStr">
        <is>
          <t>PORTO NACIONAL</t>
        </is>
      </c>
      <c r="Q126" s="2" t="inlineStr">
        <is>
          <t>FURTADO</t>
        </is>
      </c>
      <c r="R126" s="2" t="inlineStr">
        <is>
          <t>FURTADO</t>
        </is>
      </c>
      <c r="S126" s="2" t="inlineStr">
        <is>
          <t>432294</t>
        </is>
      </c>
      <c r="T126" s="2" t="n">
        <v>1597384</v>
      </c>
      <c r="U126" s="2" t="inlineStr">
        <is>
          <t>sim</t>
        </is>
      </c>
      <c r="V126" s="2" t="inlineStr">
        <is>
          <t>CAUSADA POR TERCEIROS</t>
        </is>
      </c>
      <c r="W126" s="2" t="inlineStr">
        <is>
          <t>ROUBO DE TRANSFORMADOR</t>
        </is>
      </c>
      <c r="X126" s="2" t="n"/>
      <c r="Y126" s="2" t="n"/>
      <c r="Z126" s="4" t="inlineStr">
        <is>
          <t>não</t>
        </is>
      </c>
      <c r="AA126" s="4" t="inlineStr">
        <is>
          <t>leitura caso a caso</t>
        </is>
      </c>
      <c r="AB126" s="4" t="inlineStr">
        <is>
          <t>Fora do indicador: o texto declara furto, roubo ou vandalismo.</t>
        </is>
      </c>
      <c r="AC126" s="2" t="inlineStr">
        <is>
          <t>INSTALAÇÃO DE UM NOVO TRAFO QUE FOI FURTADO.TRAFO 5700236001 DE 45KVA DA 13.8. ACESSO LIVRE. 18 CLIENTES PENALIZADOS.</t>
        </is>
      </c>
      <c r="AD126" s="2" t="inlineStr">
        <is>
          <t xml:space="preserve">medido_ 
emergencial_ 
substituição de trafo furtado rdu porto 
</t>
        </is>
      </c>
    </row>
    <row r="127" ht="30" customHeight="1">
      <c r="A127" s="2" t="inlineStr">
        <is>
          <t>DG-RD-PO 00130/2026</t>
        </is>
      </c>
      <c r="B127" s="2" t="inlineStr">
        <is>
          <t>jan</t>
        </is>
      </c>
      <c r="C127" s="6" t="inlineStr">
        <is>
          <t>Causa externa ao transformador</t>
        </is>
      </c>
      <c r="D127" s="2" t="inlineStr">
        <is>
          <t>Furto</t>
        </is>
      </c>
      <c r="E127" s="2" t="inlineStr">
        <is>
          <t>EXPURGO</t>
        </is>
      </c>
      <c r="F127" s="2" t="inlineStr">
        <is>
          <t>FURTADO</t>
        </is>
      </c>
      <c r="G127" s="2" t="inlineStr">
        <is>
          <t>esteira 1.582</t>
        </is>
      </c>
      <c r="H127" s="2" t="inlineStr">
        <is>
          <t>FURTO</t>
        </is>
      </c>
      <c r="I127" s="2" t="n">
        <v>5711292001</v>
      </c>
      <c r="J127" s="2" t="inlineStr">
        <is>
          <t>DG-MPDG01  000046/2026</t>
        </is>
      </c>
      <c r="K127" s="2" t="n">
        <v>312600128</v>
      </c>
      <c r="L127" s="2" t="inlineStr">
        <is>
          <t>2026-01-30 21:23</t>
        </is>
      </c>
      <c r="M127" s="2" t="inlineStr">
        <is>
          <t>2026-01-31 17:22</t>
        </is>
      </c>
      <c r="N127" s="2" t="inlineStr">
        <is>
          <t>FORMS SUBST DE TRANSFORMADOR</t>
        </is>
      </c>
      <c r="O127" s="2" t="inlineStr">
        <is>
          <t>DG-RD-PO</t>
        </is>
      </c>
      <c r="P127" s="2" t="inlineStr">
        <is>
          <t>PORTO NACIONAL</t>
        </is>
      </c>
      <c r="Q127" s="2" t="inlineStr">
        <is>
          <t>FURTADO</t>
        </is>
      </c>
      <c r="R127" s="2" t="inlineStr">
        <is>
          <t>FURTADO</t>
        </is>
      </c>
      <c r="S127" s="2" t="inlineStr">
        <is>
          <t>n/t</t>
        </is>
      </c>
      <c r="T127" s="2" t="n">
        <v>820313</v>
      </c>
      <c r="U127" s="2" t="inlineStr">
        <is>
          <t>sim</t>
        </is>
      </c>
      <c r="V127" s="2" t="n"/>
      <c r="W127" s="2" t="n"/>
      <c r="X127" s="2" t="n"/>
      <c r="Y127" s="2" t="n"/>
      <c r="Z127" s="4" t="inlineStr">
        <is>
          <t>não</t>
        </is>
      </c>
      <c r="AA127" s="4" t="inlineStr">
        <is>
          <t>leitura caso a caso</t>
        </is>
      </c>
      <c r="AB127" s="4" t="inlineStr">
        <is>
          <t>Fora do indicador: o texto declara furto, roubo ou vandalismo.</t>
        </is>
      </c>
      <c r="AC127" s="2" t="inlineStr">
        <is>
          <t>INT: 20264112069103Segue SS de TR 5711292001 10KVA/7.9KV furtado.UC 6438784CHACARA SANTA MARIA63992697212LOURENCO DIOLINDO PEREIRA001OP11 63 99111-1776</t>
        </is>
      </c>
      <c r="AD127" s="2" t="inlineStr">
        <is>
          <t xml:space="preserve">medido_ 
emergencial_ 
cobrando sobre aviso da pedrini 24 a 26/01/2026 
INT: 20264112069103 
Segue SS de TR 5711292001 10KVA/7.9KV furtado. 
UC 6438784 
CHACARA SANTA MARIA 
63992697212 
LOURENCO DIOLINDO PEREIRA 
001OP11 63 99111-1776 
</t>
        </is>
      </c>
    </row>
    <row r="128" ht="45" customHeight="1">
      <c r="A128" s="2" t="inlineStr">
        <is>
          <t>ENC-RD-PS 00016/2026</t>
        </is>
      </c>
      <c r="B128" s="2" t="inlineStr">
        <is>
          <t>jan</t>
        </is>
      </c>
      <c r="C128" s="6" t="inlineStr">
        <is>
          <t>Causa externa ao transformador</t>
        </is>
      </c>
      <c r="D128" s="2" t="inlineStr">
        <is>
          <t>Furto</t>
        </is>
      </c>
      <c r="E128" s="2" t="inlineStr">
        <is>
          <t>EXPURGO</t>
        </is>
      </c>
      <c r="F128" s="2" t="inlineStr">
        <is>
          <t>AVARIADO</t>
        </is>
      </c>
      <c r="G128" s="2" t="inlineStr">
        <is>
          <t>esteira 1.582</t>
        </is>
      </c>
      <c r="H128" s="2" t="inlineStr">
        <is>
          <t>FURTO</t>
        </is>
      </c>
      <c r="I128" s="2" t="n">
        <v>5710042046</v>
      </c>
      <c r="J128" s="2" t="inlineStr">
        <is>
          <t>ENC-LMPS04  000003/2026</t>
        </is>
      </c>
      <c r="K128" s="2" t="n">
        <v>212600054</v>
      </c>
      <c r="L128" s="2" t="inlineStr">
        <is>
          <t>2026-01-05 14:47</t>
        </is>
      </c>
      <c r="M128" s="2" t="inlineStr">
        <is>
          <t>2026-01-07 17:50</t>
        </is>
      </c>
      <c r="N128" s="2" t="inlineStr">
        <is>
          <t>FORMS SUBST DE TRANSFORMADOR</t>
        </is>
      </c>
      <c r="O128" s="2" t="inlineStr">
        <is>
          <t>ENC-RD-PS</t>
        </is>
      </c>
      <c r="P128" s="2" t="inlineStr">
        <is>
          <t>OLIVEIRA DE FATIMA</t>
        </is>
      </c>
      <c r="Q128" s="2" t="inlineStr">
        <is>
          <t>FURTADO</t>
        </is>
      </c>
      <c r="R128" s="2" t="inlineStr">
        <is>
          <t>VANDALISMO</t>
        </is>
      </c>
      <c r="S128" s="2" t="inlineStr">
        <is>
          <t>373581</t>
        </is>
      </c>
      <c r="T128" s="2" t="n"/>
      <c r="U128" s="2" t="inlineStr">
        <is>
          <t>não</t>
        </is>
      </c>
      <c r="V128" s="2" t="inlineStr">
        <is>
          <t>TRANSFORMADOR</t>
        </is>
      </c>
      <c r="W128" s="2" t="inlineStr">
        <is>
          <t>VAZAMENTO DE OLEO / TANQUE DETERIORADO</t>
        </is>
      </c>
      <c r="X128" s="2" t="inlineStr">
        <is>
          <t>TRANSFORMADOR</t>
        </is>
      </c>
      <c r="Y128" s="2" t="inlineStr">
        <is>
          <t>VAZAMENTO DE OLEO / TANQUE DETERIORADO</t>
        </is>
      </c>
      <c r="Z128" s="4" t="inlineStr">
        <is>
          <t>não</t>
        </is>
      </c>
      <c r="AA128" s="4" t="inlineStr">
        <is>
          <t>leitura caso a caso</t>
        </is>
      </c>
      <c r="AB128" s="4" t="inlineStr">
        <is>
          <t>Fora do indicador: a obra e o projeto contábil declaram furto. A interrupção descreve o evento elétrico, não a causa da reposição.</t>
        </is>
      </c>
      <c r="AC128" s="2" t="inlineStr">
        <is>
          <t>SS PARA TRAFO 5710042046 FUTADO POTENCIA: 15KVAACESSO: LIVRE</t>
        </is>
      </c>
      <c r="AD128" s="2" t="inlineStr">
        <is>
          <t xml:space="preserve">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 
</t>
        </is>
      </c>
    </row>
    <row r="129" ht="30" customHeight="1">
      <c r="A129" s="2" t="inlineStr">
        <is>
          <t>ENC-RD-PS 00090/2026</t>
        </is>
      </c>
      <c r="B129" s="2" t="inlineStr">
        <is>
          <t>jan</t>
        </is>
      </c>
      <c r="C129" s="6" t="inlineStr">
        <is>
          <t>Causa externa ao transformador</t>
        </is>
      </c>
      <c r="D129" s="2" t="inlineStr">
        <is>
          <t>Furto</t>
        </is>
      </c>
      <c r="E129" s="2" t="inlineStr">
        <is>
          <t>EXPURGO</t>
        </is>
      </c>
      <c r="F129" s="2" t="inlineStr">
        <is>
          <t>FURTADO</t>
        </is>
      </c>
      <c r="G129" s="2" t="inlineStr">
        <is>
          <t>esteira 1.582</t>
        </is>
      </c>
      <c r="H129" s="2" t="inlineStr">
        <is>
          <t>FURTO</t>
        </is>
      </c>
      <c r="I129" s="2" t="n">
        <v>5700958055</v>
      </c>
      <c r="J129" s="2" t="inlineStr">
        <is>
          <t>ENC-LMPS04  000016/2026</t>
        </is>
      </c>
      <c r="K129" s="2" t="n">
        <v>212600084</v>
      </c>
      <c r="L129" s="2" t="inlineStr">
        <is>
          <t>2026-01-17 09:16</t>
        </is>
      </c>
      <c r="M129" s="2" t="inlineStr">
        <is>
          <t>2026-01-19 17:04</t>
        </is>
      </c>
      <c r="N129" s="2" t="inlineStr">
        <is>
          <t>FORMS SUBST DE TRANSFORMADOR</t>
        </is>
      </c>
      <c r="O129" s="2" t="inlineStr">
        <is>
          <t>ENC-RD-PS</t>
        </is>
      </c>
      <c r="P129" s="2" t="inlineStr">
        <is>
          <t>ARAGUACEMA</t>
        </is>
      </c>
      <c r="Q129" s="2" t="inlineStr">
        <is>
          <t>FURTADO</t>
        </is>
      </c>
      <c r="R129" s="2" t="inlineStr">
        <is>
          <t>VANDALISMO</t>
        </is>
      </c>
      <c r="S129" s="2" t="inlineStr">
        <is>
          <t>-</t>
        </is>
      </c>
      <c r="T129" s="2" t="n">
        <v>290398</v>
      </c>
      <c r="U129" s="2" t="inlineStr">
        <is>
          <t>não</t>
        </is>
      </c>
      <c r="V129" s="2" t="n"/>
      <c r="W129" s="2" t="n"/>
      <c r="X129" s="2" t="n"/>
      <c r="Y129" s="2" t="n"/>
      <c r="Z129" s="4" t="inlineStr">
        <is>
          <t>não</t>
        </is>
      </c>
      <c r="AA129" s="4" t="inlineStr">
        <is>
          <t>leitura caso a caso</t>
        </is>
      </c>
      <c r="AB129" s="4" t="inlineStr">
        <is>
          <t>Fora do indicador: o texto declara furto, roubo ou vandalismo.</t>
        </is>
      </c>
      <c r="AC129" s="2" t="inlineStr">
        <is>
          <t>TRAFO 5700958055 FURTADO 15KVA 19,9KV ACESSO BOM</t>
        </is>
      </c>
      <c r="AD129" s="2" t="inlineStr">
        <is>
          <t xml:space="preserve">SS  ENC-RD-PS 90/2026 
TRAFO 5700958055 
OBS: TRAFO FURTADO - O SUCATA NÃO ESTAVA NO LOCAL 
TRAFO INSTALADO' 
POTÊNCIA : 15KVA 
TENSÃO :	 34.5KV 
Nº ENERGISA (CITD) : 149805 
Nº DE SÉRIE : 290398 
MARCA : IATM 
DATA FABRICAÇÃO : 10/2025 
IMPEDANCIA : 3.13 
POS. TAP : 03 
</t>
        </is>
      </c>
    </row>
    <row r="130" ht="45" customHeight="1">
      <c r="A130" s="2" t="inlineStr">
        <is>
          <t>ENC-RD-PS 00108/2026</t>
        </is>
      </c>
      <c r="B130" s="2" t="inlineStr">
        <is>
          <t>jan</t>
        </is>
      </c>
      <c r="C130" s="6" t="inlineStr">
        <is>
          <t>Causa externa ao transformador</t>
        </is>
      </c>
      <c r="D130" s="2" t="inlineStr">
        <is>
          <t>Furto</t>
        </is>
      </c>
      <c r="E130" s="2" t="inlineStr">
        <is>
          <t>EXPURGO</t>
        </is>
      </c>
      <c r="F130" s="2" t="inlineStr">
        <is>
          <t>QUEIMADO</t>
        </is>
      </c>
      <c r="G130" s="2" t="inlineStr">
        <is>
          <t>esteira 1.582</t>
        </is>
      </c>
      <c r="H130" s="2" t="inlineStr">
        <is>
          <t>FURTO</t>
        </is>
      </c>
      <c r="I130" s="2" t="n">
        <v>5700380046</v>
      </c>
      <c r="J130" s="2" t="inlineStr">
        <is>
          <t>ENC-LMPS04  000018/2026</t>
        </is>
      </c>
      <c r="K130" s="2" t="n">
        <v>212600107</v>
      </c>
      <c r="L130" s="2" t="inlineStr">
        <is>
          <t>2026-01-20 20:17</t>
        </is>
      </c>
      <c r="M130" s="2" t="inlineStr">
        <is>
          <t>2026-01-21 14:10</t>
        </is>
      </c>
      <c r="N130" s="2" t="inlineStr">
        <is>
          <t>FORMS SUBST DE TRANSFORMADOR</t>
        </is>
      </c>
      <c r="O130" s="2" t="inlineStr">
        <is>
          <t>ENC-RD-PS</t>
        </is>
      </c>
      <c r="P130" s="2" t="inlineStr">
        <is>
          <t>NOVA ROSALANDIA</t>
        </is>
      </c>
      <c r="Q130" s="2" t="inlineStr">
        <is>
          <t>QUEIMADO</t>
        </is>
      </c>
      <c r="R130" s="2" t="inlineStr">
        <is>
          <t>DESCARGA ATMOSFÉRICA</t>
        </is>
      </c>
      <c r="S130" s="2" t="inlineStr">
        <is>
          <t>370550</t>
        </is>
      </c>
      <c r="T130" s="2" t="n"/>
      <c r="U130" s="2" t="inlineStr">
        <is>
          <t>não</t>
        </is>
      </c>
      <c r="V130" s="2" t="inlineStr">
        <is>
          <t>TRANSFORMADOR</t>
        </is>
      </c>
      <c r="W130" s="2" t="inlineStr">
        <is>
          <t>QUEIMADO POR DESCARGA ATMOSFERICA</t>
        </is>
      </c>
      <c r="X130" s="2" t="inlineStr">
        <is>
          <t>TRANSFORMADOR</t>
        </is>
      </c>
      <c r="Y130" s="2" t="inlineStr">
        <is>
          <t>QUEIMADO POR DESCARGA ATMOSFERICA</t>
        </is>
      </c>
      <c r="Z130" s="4" t="inlineStr">
        <is>
          <t>não</t>
        </is>
      </c>
      <c r="AA130" s="4" t="inlineStr">
        <is>
          <t>leitura caso a caso</t>
        </is>
      </c>
      <c r="AB130" s="4" t="inlineStr">
        <is>
          <t>Fora do indicador: a obra e o projeto contábil declaram furto. A interrupção descreve o evento elétrico, não a causa da reposição.</t>
        </is>
      </c>
      <c r="AC130" s="2" t="inlineStr">
        <is>
          <t>5700380046 QUEIMADO 15KVA 19,9KV ACESSO BOM</t>
        </is>
      </c>
      <c r="AD130" s="2" t="inlineStr">
        <is>
          <t xml:space="preserve">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 
</t>
        </is>
      </c>
    </row>
    <row r="131" ht="45" customHeight="1">
      <c r="A131" s="2" t="inlineStr">
        <is>
          <t>ENC-RD-PS 00154/2026</t>
        </is>
      </c>
      <c r="B131" s="2" t="inlineStr">
        <is>
          <t>jan</t>
        </is>
      </c>
      <c r="C131" s="6" t="inlineStr">
        <is>
          <t>Causa externa ao transformador</t>
        </is>
      </c>
      <c r="D131" s="2" t="inlineStr">
        <is>
          <t>Furto</t>
        </is>
      </c>
      <c r="E131" s="2" t="inlineStr">
        <is>
          <t>EXPURGO</t>
        </is>
      </c>
      <c r="F131" s="2" t="inlineStr">
        <is>
          <t>QUEIMADO</t>
        </is>
      </c>
      <c r="G131" s="2" t="inlineStr">
        <is>
          <t>esteira 1.582</t>
        </is>
      </c>
      <c r="H131" s="2" t="inlineStr">
        <is>
          <t>FURTO</t>
        </is>
      </c>
      <c r="I131" s="2" t="n">
        <v>5700455046</v>
      </c>
      <c r="J131" s="2" t="inlineStr">
        <is>
          <t>ENC-LMPS01  000037/2026</t>
        </is>
      </c>
      <c r="K131" s="2" t="n">
        <v>212600152</v>
      </c>
      <c r="L131" s="2" t="inlineStr">
        <is>
          <t>2026-01-30 16:57</t>
        </is>
      </c>
      <c r="M131" s="2" t="inlineStr">
        <is>
          <t>2026-02-01 15:10</t>
        </is>
      </c>
      <c r="N131" s="2" t="inlineStr">
        <is>
          <t>FORMS SUBST DE TRANSFORMADOR</t>
        </is>
      </c>
      <c r="O131" s="2" t="inlineStr">
        <is>
          <t>ENC-RD-PS</t>
        </is>
      </c>
      <c r="P131" s="2" t="inlineStr">
        <is>
          <t>NOVA ROSALANDIA</t>
        </is>
      </c>
      <c r="Q131" s="2" t="inlineStr">
        <is>
          <t>FURTADO</t>
        </is>
      </c>
      <c r="R131" s="2" t="inlineStr">
        <is>
          <t>FURTADO</t>
        </is>
      </c>
      <c r="S131" s="2" t="inlineStr">
        <is>
          <t>16407</t>
        </is>
      </c>
      <c r="T131" s="2" t="n">
        <v>805982</v>
      </c>
      <c r="U131" s="2" t="inlineStr">
        <is>
          <t>sim</t>
        </is>
      </c>
      <c r="V131" s="2" t="inlineStr">
        <is>
          <t>TRANSFORMADOR</t>
        </is>
      </c>
      <c r="W131" s="2" t="inlineStr">
        <is>
          <t>QUEIMADO POR DESCARGA ATMOSFERICA</t>
        </is>
      </c>
      <c r="X131" s="2" t="n"/>
      <c r="Y131" s="2" t="n"/>
      <c r="Z131" s="4" t="inlineStr">
        <is>
          <t>não</t>
        </is>
      </c>
      <c r="AA131" s="4" t="inlineStr">
        <is>
          <t>leitura caso a caso</t>
        </is>
      </c>
      <c r="AB131" s="4" t="inlineStr">
        <is>
          <t>Fora do indicador: a obra e o projeto contábil declaram furto. A interrupção descreve o evento elétrico, não a causa da reposição.</t>
        </is>
      </c>
      <c r="AC131" s="2" t="inlineStr">
        <is>
          <t>TR 570045504625KVAPARA RAIO DANIFICADO TENSAO 13800EQUIPE 046OP01 CHEGOU NO LOCAL TRAFO ESTAVA NO CHAO AO QUE TUDO INDICA O MESMO FOI FURTADO 046OP01</t>
        </is>
      </c>
      <c r="AD131" s="2" t="inlineStr">
        <is>
          <t xml:space="preserve">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 
</t>
        </is>
      </c>
    </row>
    <row r="132" ht="30" customHeight="1">
      <c r="A132" s="2" t="inlineStr">
        <is>
          <t>ETO-RD-AG 00104/2026</t>
        </is>
      </c>
      <c r="B132" s="2" t="inlineStr">
        <is>
          <t>jan</t>
        </is>
      </c>
      <c r="C132" s="6" t="inlineStr">
        <is>
          <t>Causa externa ao transformador</t>
        </is>
      </c>
      <c r="D132" s="2" t="inlineStr">
        <is>
          <t>Furto</t>
        </is>
      </c>
      <c r="E132" s="2" t="inlineStr">
        <is>
          <t>EXPURGO</t>
        </is>
      </c>
      <c r="F132" s="2" t="inlineStr">
        <is>
          <t>FURTADO</t>
        </is>
      </c>
      <c r="G132" s="2" t="inlineStr">
        <is>
          <t>esteira 1.582</t>
        </is>
      </c>
      <c r="H132" s="2" t="inlineStr">
        <is>
          <t>FURTO</t>
        </is>
      </c>
      <c r="I132" s="2" t="n">
        <v>5700150156</v>
      </c>
      <c r="J132" s="2" t="inlineStr">
        <is>
          <t>ETO-RD-AG  000073/2026</t>
        </is>
      </c>
      <c r="K132" s="2" t="n">
        <v>662600065</v>
      </c>
      <c r="L132" s="2" t="inlineStr">
        <is>
          <t>2026-01-27 13:18</t>
        </is>
      </c>
      <c r="M132" s="2" t="inlineStr">
        <is>
          <t>2026-01-28 00:22</t>
        </is>
      </c>
      <c r="N132" s="2" t="inlineStr">
        <is>
          <t>FORMS SUBST DE TRANSFORMADOR</t>
        </is>
      </c>
      <c r="O132" s="2" t="inlineStr">
        <is>
          <t>ETO-RD-AG</t>
        </is>
      </c>
      <c r="P132" s="2" t="inlineStr">
        <is>
          <t>CACHOEIRINHA</t>
        </is>
      </c>
      <c r="Q132" s="2" t="inlineStr">
        <is>
          <t>FURTADO</t>
        </is>
      </c>
      <c r="R132" s="2" t="inlineStr">
        <is>
          <t>FURTADO</t>
        </is>
      </c>
      <c r="S132" s="2" t="inlineStr">
        <is>
          <t>N/A</t>
        </is>
      </c>
      <c r="T132" s="2" t="n">
        <v>799461</v>
      </c>
      <c r="U132" s="2" t="inlineStr">
        <is>
          <t>não</t>
        </is>
      </c>
      <c r="V132" s="2" t="n"/>
      <c r="W132" s="2" t="n"/>
      <c r="X132" s="2" t="n"/>
      <c r="Y132" s="2" t="n"/>
      <c r="Z132" s="4" t="inlineStr">
        <is>
          <t>não</t>
        </is>
      </c>
      <c r="AA132" s="4" t="inlineStr">
        <is>
          <t>leitura caso a caso</t>
        </is>
      </c>
      <c r="AB132" s="4" t="inlineStr">
        <is>
          <t>Fora do indicador: o texto declara furto, roubo ou vandalismo.</t>
        </is>
      </c>
      <c r="AC132" s="2" t="inlineStr">
        <is>
          <t>transformador furtado 5700150156  potencia 5kva tensão 19.9kv  acesso livre leva chave fusivel a mesma foi furtada eleva  cabo para junper e glv leva para-raioequipe: 6399616867</t>
        </is>
      </c>
      <c r="AD132" s="2"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133" ht="30" customHeight="1">
      <c r="A133" s="2" t="inlineStr">
        <is>
          <t>ETO-RD-AG 00174/2026</t>
        </is>
      </c>
      <c r="B133" s="2" t="inlineStr">
        <is>
          <t>fev</t>
        </is>
      </c>
      <c r="C133" s="6" t="inlineStr">
        <is>
          <t>Causa externa ao transformador</t>
        </is>
      </c>
      <c r="D133" s="2" t="inlineStr">
        <is>
          <t>Furto</t>
        </is>
      </c>
      <c r="E133" s="2" t="inlineStr">
        <is>
          <t>EXPURGO</t>
        </is>
      </c>
      <c r="F133" s="2" t="inlineStr">
        <is>
          <t>FURTADO</t>
        </is>
      </c>
      <c r="G133" s="2" t="inlineStr">
        <is>
          <t>esteira 1.582</t>
        </is>
      </c>
      <c r="H133" s="2" t="inlineStr">
        <is>
          <t>FURTO</t>
        </is>
      </c>
      <c r="I133" s="2" t="n">
        <v>5710029090</v>
      </c>
      <c r="J133" s="2" t="inlineStr">
        <is>
          <t>ENC-MLAG02  000040/2026</t>
        </is>
      </c>
      <c r="K133" s="2" t="n">
        <v>662600114</v>
      </c>
      <c r="L133" s="2" t="inlineStr">
        <is>
          <t>2026-02-11 12:17</t>
        </is>
      </c>
      <c r="M133" s="2" t="inlineStr">
        <is>
          <t>2026-02-14 10:18</t>
        </is>
      </c>
      <c r="N133" s="2" t="inlineStr">
        <is>
          <t>FORMS SUBST DE TRANSFORMADOR</t>
        </is>
      </c>
      <c r="O133" s="2" t="inlineStr">
        <is>
          <t>ETO-RD-AG</t>
        </is>
      </c>
      <c r="P133" s="2" t="inlineStr">
        <is>
          <t>NAZARE</t>
        </is>
      </c>
      <c r="Q133" s="2" t="inlineStr">
        <is>
          <t>FURTADO</t>
        </is>
      </c>
      <c r="R133" s="2" t="inlineStr">
        <is>
          <t>FURTADO</t>
        </is>
      </c>
      <c r="S133" s="2" t="inlineStr">
        <is>
          <t>00</t>
        </is>
      </c>
      <c r="T133" s="2" t="n">
        <v>799440</v>
      </c>
      <c r="U133" s="2" t="inlineStr">
        <is>
          <t>não</t>
        </is>
      </c>
      <c r="V133" s="2" t="inlineStr">
        <is>
          <t>TRANSFORMADOR</t>
        </is>
      </c>
      <c r="W133" s="2" t="inlineStr">
        <is>
          <t>SUBTENSAO</t>
        </is>
      </c>
      <c r="X133" s="2" t="inlineStr">
        <is>
          <t>TRANSFORMADOR</t>
        </is>
      </c>
      <c r="Y133" s="2" t="inlineStr">
        <is>
          <t>SUBTENSAO</t>
        </is>
      </c>
      <c r="Z133" s="4" t="inlineStr">
        <is>
          <t>não</t>
        </is>
      </c>
      <c r="AA133" s="4" t="inlineStr">
        <is>
          <t>leitura caso a caso</t>
        </is>
      </c>
      <c r="AB133" s="4" t="inlineStr">
        <is>
          <t>Fora do indicador: o texto declara furto, roubo ou vandalismo.</t>
        </is>
      </c>
      <c r="AC133" s="2" t="inlineStr">
        <is>
          <t>Conforme informações da equipe 090OP01 , segue SS para transformador 5710029090 15KVA na 34,5 furtado , pararaio e ramal de serviço . Acesso camionete</t>
        </is>
      </c>
      <c r="AD133" s="2"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134" ht="180" customHeight="1">
      <c r="A134" s="2" t="inlineStr">
        <is>
          <t>ETO-RD-GU 00179/2026</t>
        </is>
      </c>
      <c r="B134" s="2" t="inlineStr">
        <is>
          <t>fev</t>
        </is>
      </c>
      <c r="C134" s="6" t="inlineStr">
        <is>
          <t>Causa externa ao transformador</t>
        </is>
      </c>
      <c r="D134" s="2" t="inlineStr">
        <is>
          <t>Furto</t>
        </is>
      </c>
      <c r="E134" s="2" t="inlineStr">
        <is>
          <t>EXPURGO</t>
        </is>
      </c>
      <c r="F134" s="2" t="inlineStr">
        <is>
          <t>QUEIMADO</t>
        </is>
      </c>
      <c r="G134" s="2" t="inlineStr">
        <is>
          <t>esteira 1.582</t>
        </is>
      </c>
      <c r="H134" s="2" t="inlineStr">
        <is>
          <t>FURTO</t>
        </is>
      </c>
      <c r="I134" s="2" t="n">
        <v>5710232094</v>
      </c>
      <c r="J134" s="2" t="inlineStr">
        <is>
          <t>DBM-MPDB08  000036/2026</t>
        </is>
      </c>
      <c r="K134" s="2" t="n">
        <v>412600181</v>
      </c>
      <c r="L134" s="2" t="inlineStr">
        <is>
          <t>2026-02-05 11:49</t>
        </is>
      </c>
      <c r="M134" s="2" t="inlineStr">
        <is>
          <t>2026-02-06 13:58</t>
        </is>
      </c>
      <c r="N134" s="2" t="inlineStr">
        <is>
          <t>FORMS SUBST DE TRANSFORMADOR</t>
        </is>
      </c>
      <c r="O134" s="2" t="inlineStr">
        <is>
          <t>ETO-RD-GU</t>
        </is>
      </c>
      <c r="P134" s="2" t="inlineStr">
        <is>
          <t>PEIXE</t>
        </is>
      </c>
      <c r="Q134" s="2" t="inlineStr">
        <is>
          <t>FURTADO</t>
        </is>
      </c>
      <c r="R134" s="2" t="inlineStr">
        <is>
          <t>FURTADO</t>
        </is>
      </c>
      <c r="S134" s="2" t="inlineStr">
        <is>
          <t>495286</t>
        </is>
      </c>
      <c r="T134" s="2" t="n">
        <v>1557592</v>
      </c>
      <c r="U134" s="2" t="inlineStr">
        <is>
          <t>sim</t>
        </is>
      </c>
      <c r="V134" s="2" t="inlineStr">
        <is>
          <t>TRANSFORMADOR</t>
        </is>
      </c>
      <c r="W134" s="2" t="inlineStr">
        <is>
          <t>QUEIMADO POR DESCARGA ATMOSFERICA</t>
        </is>
      </c>
      <c r="X134" s="2" t="n"/>
      <c r="Y134" s="2" t="n"/>
      <c r="Z134" s="4" t="inlineStr">
        <is>
          <t>não</t>
        </is>
      </c>
      <c r="AA134" s="4" t="inlineStr">
        <is>
          <t>leitura caso a caso</t>
        </is>
      </c>
      <c r="AB134" s="4"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AC134" s="2" t="inlineStr">
        <is>
          <t>transformador e medidor furtado acesso livre</t>
        </is>
      </c>
      <c r="AD134" s="2" t="inlineStr">
        <is>
          <t xml:space="preserve">SUBSTITUIÇÃO DE TRANSFORMADOR NA RDR DE PEIXE 
INT: 20264118395093 
SS: ETO-RD-GU 179/2026 
ESPECIFICAÇÕES DO TRANSFORMADOR 
TRANSFORMADOR INSTALADO: 30 KVA 
TRANSFORMADOR RETIRADO: 30 KVA 
OBS:SUBSTITUIÇÃO DE TRANSFORMADOR AUTORIZADA PELO DIONE. 
</t>
        </is>
      </c>
    </row>
    <row r="135" ht="30" customHeight="1">
      <c r="A135" s="2" t="inlineStr">
        <is>
          <t>ENC-RD-PS 00314/2026</t>
        </is>
      </c>
      <c r="B135" s="2" t="inlineStr">
        <is>
          <t>mar</t>
        </is>
      </c>
      <c r="C135" s="6" t="inlineStr">
        <is>
          <t>Causa externa ao transformador</t>
        </is>
      </c>
      <c r="D135" s="2" t="inlineStr">
        <is>
          <t>Furto</t>
        </is>
      </c>
      <c r="E135" s="2" t="inlineStr">
        <is>
          <t>EXPURGO</t>
        </is>
      </c>
      <c r="F135" s="2" t="inlineStr">
        <is>
          <t>FURTADO</t>
        </is>
      </c>
      <c r="G135" s="2" t="inlineStr">
        <is>
          <t>esteira 1.582</t>
        </is>
      </c>
      <c r="H135" s="2" t="inlineStr">
        <is>
          <t>FURTO</t>
        </is>
      </c>
      <c r="I135" s="2" t="n">
        <v>5700019014</v>
      </c>
      <c r="J135" s="2" t="inlineStr">
        <is>
          <t>ENC-MPPS01  000061/2026</t>
        </is>
      </c>
      <c r="K135" s="2" t="n">
        <v>212600291</v>
      </c>
      <c r="L135" s="2" t="inlineStr">
        <is>
          <t>2026-03-07 16:15</t>
        </is>
      </c>
      <c r="M135" s="2" t="inlineStr">
        <is>
          <t>2026-03-09 16:35</t>
        </is>
      </c>
      <c r="N135" s="2" t="inlineStr">
        <is>
          <t>FORMS SUBST DE TRANSFORMADOR</t>
        </is>
      </c>
      <c r="O135" s="2" t="inlineStr">
        <is>
          <t>ENC-RD-PS</t>
        </is>
      </c>
      <c r="P135" s="2" t="inlineStr">
        <is>
          <t>PIUM</t>
        </is>
      </c>
      <c r="Q135" s="2" t="inlineStr">
        <is>
          <t>FURTADO</t>
        </is>
      </c>
      <c r="R135" s="2" t="inlineStr">
        <is>
          <t>FURTADO</t>
        </is>
      </c>
      <c r="S135" s="2" t="inlineStr">
        <is>
          <t>182260</t>
        </is>
      </c>
      <c r="T135" s="2" t="n">
        <v>182550</v>
      </c>
      <c r="U135" s="2" t="inlineStr">
        <is>
          <t>sim</t>
        </is>
      </c>
      <c r="V135" s="2" t="n"/>
      <c r="W135" s="2" t="n"/>
      <c r="X135" s="2" t="n"/>
      <c r="Y135" s="2" t="n"/>
      <c r="Z135" s="4" t="inlineStr">
        <is>
          <t>não</t>
        </is>
      </c>
      <c r="AA135" s="4" t="inlineStr">
        <is>
          <t>leitura caso a caso</t>
        </is>
      </c>
      <c r="AB135" s="4" t="inlineStr">
        <is>
          <t>Fora do indicador: o texto declara furto, roubo ou vandalismo.</t>
        </is>
      </c>
      <c r="AC135" s="2" t="inlineStr">
        <is>
          <t>TR 570001901430KVATRAFO FURTADO ACESSO LIVRE CAMINHAO TENSAO 13800PARA RAIO DANIFICADO 014OP02 SERGIO</t>
        </is>
      </c>
      <c r="AD135" s="2" t="inlineStr">
        <is>
          <t xml:space="preserve">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 
</t>
        </is>
      </c>
    </row>
    <row r="136" ht="135" customHeight="1">
      <c r="A136" s="2" t="inlineStr">
        <is>
          <t>ETO-RD-DP 00182/2026</t>
        </is>
      </c>
      <c r="B136" s="2" t="inlineStr">
        <is>
          <t>mar</t>
        </is>
      </c>
      <c r="C136" s="6" t="inlineStr">
        <is>
          <t>Causa externa ao transformador</t>
        </is>
      </c>
      <c r="D136" s="2" t="inlineStr">
        <is>
          <t>Furto</t>
        </is>
      </c>
      <c r="E136" s="2" t="inlineStr">
        <is>
          <t>EXPURGO</t>
        </is>
      </c>
      <c r="F136" s="2" t="inlineStr">
        <is>
          <t>QUEIMADO</t>
        </is>
      </c>
      <c r="G136" s="2" t="inlineStr">
        <is>
          <t>esteira 1.582</t>
        </is>
      </c>
      <c r="H136" s="2" t="inlineStr">
        <is>
          <t>FURTO</t>
        </is>
      </c>
      <c r="I136" s="2" t="n">
        <v>5700273116</v>
      </c>
      <c r="J136" s="2" t="inlineStr">
        <is>
          <t>ETO-MLDP01  000070/2026</t>
        </is>
      </c>
      <c r="K136" s="2" t="n">
        <v>512600132</v>
      </c>
      <c r="L136" s="2" t="inlineStr">
        <is>
          <t>2026-03-12 11:46</t>
        </is>
      </c>
      <c r="M136" s="2" t="inlineStr">
        <is>
          <t>2026-03-13 17:31</t>
        </is>
      </c>
      <c r="N136" s="2" t="inlineStr">
        <is>
          <t>FORMS SUBST DE TRANSFORMADOR</t>
        </is>
      </c>
      <c r="O136" s="2" t="inlineStr">
        <is>
          <t>ETO-RD-DP</t>
        </is>
      </c>
      <c r="P136" s="2" t="inlineStr">
        <is>
          <t>CHAPADA DA NATIVIDADE</t>
        </is>
      </c>
      <c r="Q136" s="2" t="n"/>
      <c r="R136" s="2" t="n"/>
      <c r="S136" s="2" t="inlineStr">
        <is>
          <t>973955</t>
        </is>
      </c>
      <c r="T136" s="2" t="n">
        <v>536014</v>
      </c>
      <c r="U136" s="2" t="inlineStr">
        <is>
          <t>sim</t>
        </is>
      </c>
      <c r="V136" s="2" t="inlineStr">
        <is>
          <t>TRANSFORMADOR</t>
        </is>
      </c>
      <c r="W136" s="2" t="inlineStr">
        <is>
          <t>QUEIMADO POR CAUSA NAO IDENTIFICADA</t>
        </is>
      </c>
      <c r="X136" s="2" t="inlineStr">
        <is>
          <t>TRANSFORMADOR</t>
        </is>
      </c>
      <c r="Y136" s="2" t="inlineStr">
        <is>
          <t>QUEIMADO POR CAUSA NAO IDENTIFICADA</t>
        </is>
      </c>
      <c r="Z136" s="4" t="inlineStr">
        <is>
          <t>não</t>
        </is>
      </c>
      <c r="AA136" s="4" t="inlineStr">
        <is>
          <t>leitura caso a caso</t>
        </is>
      </c>
      <c r="AB136" s="4"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AC136" s="2" t="inlineStr">
        <is>
          <t>Constatado trafo 5700273116 de 15kVA na 19.9kV e para-raios furtados. Acesso bom.</t>
        </is>
      </c>
      <c r="AD136" s="2" t="inlineStr">
        <is>
          <t>Constatado trafo 5700273116 de 15kVA na 19.9kV e para-raios furtados. Acesso bom.</t>
        </is>
      </c>
    </row>
    <row r="137" ht="30" customHeight="1">
      <c r="A137" s="2" t="inlineStr">
        <is>
          <t>DG-RD-PO 00325/2026</t>
        </is>
      </c>
      <c r="B137" s="2" t="inlineStr">
        <is>
          <t>abr</t>
        </is>
      </c>
      <c r="C137" s="6" t="inlineStr">
        <is>
          <t>Causa externa ao transformador</t>
        </is>
      </c>
      <c r="D137" s="2" t="inlineStr">
        <is>
          <t>Furto</t>
        </is>
      </c>
      <c r="E137" s="2" t="inlineStr">
        <is>
          <t>EXPURGO</t>
        </is>
      </c>
      <c r="F137" s="2" t="inlineStr">
        <is>
          <t>FURTADO</t>
        </is>
      </c>
      <c r="G137" s="2" t="inlineStr">
        <is>
          <t>esteira 1.582</t>
        </is>
      </c>
      <c r="H137" s="2" t="inlineStr">
        <is>
          <t>FURTO</t>
        </is>
      </c>
      <c r="I137" s="2" t="n">
        <v>5721980001</v>
      </c>
      <c r="J137" s="2" t="inlineStr">
        <is>
          <t>DG-MPDG01  000075/2026</t>
        </is>
      </c>
      <c r="K137" s="2" t="n">
        <v>312600379</v>
      </c>
      <c r="L137" s="2" t="inlineStr">
        <is>
          <t>2026-04-09 21:46</t>
        </is>
      </c>
      <c r="M137" s="2" t="inlineStr">
        <is>
          <t>2026-04-10 11:43</t>
        </is>
      </c>
      <c r="N137" s="2" t="inlineStr">
        <is>
          <t>FORMS SUBST DE TRANSFORMADOR</t>
        </is>
      </c>
      <c r="O137" s="2" t="inlineStr">
        <is>
          <t>DG-RD-PO</t>
        </is>
      </c>
      <c r="P137" s="2" t="inlineStr">
        <is>
          <t>PORTO NACIONAL</t>
        </is>
      </c>
      <c r="Q137" s="2" t="inlineStr">
        <is>
          <t>FURTADO</t>
        </is>
      </c>
      <c r="R137" s="2" t="inlineStr">
        <is>
          <t>FURTADO</t>
        </is>
      </c>
      <c r="S137" s="2" t="inlineStr">
        <is>
          <t>2512</t>
        </is>
      </c>
      <c r="T137" s="2" t="n">
        <v>122940</v>
      </c>
      <c r="U137" s="2" t="inlineStr">
        <is>
          <t>sim</t>
        </is>
      </c>
      <c r="V137" s="2" t="inlineStr">
        <is>
          <t>CAUSADA POR TERCEIROS</t>
        </is>
      </c>
      <c r="W137" s="2" t="inlineStr">
        <is>
          <t>ROUBO DE TRANSFORMADOR</t>
        </is>
      </c>
      <c r="X137" s="2" t="n"/>
      <c r="Y137" s="2" t="n"/>
      <c r="Z137" s="4" t="inlineStr">
        <is>
          <t>não</t>
        </is>
      </c>
      <c r="AA137" s="4" t="inlineStr">
        <is>
          <t>leitura caso a caso</t>
        </is>
      </c>
      <c r="AB137" s="4" t="inlineStr">
        <is>
          <t>Fora do indicador: o texto declara furto, roubo ou vandalismo.</t>
        </is>
      </c>
      <c r="AC137" s="2" t="inlineStr">
        <is>
          <t>Segue SS para atendimento com equipe de manutenção , substituir trafo 572198001 FURTADO na RDR de porto nacional , acesso livre , tensão 13,8 , pra-raio, potencia 45 kva OBS: TRAFO ATENDE BRK</t>
        </is>
      </c>
      <c r="AD137" s="2" t="inlineStr">
        <is>
          <t xml:space="preserve">medido_ 
emergencial_ 
substituição de trafo furtado rdu porto 
</t>
        </is>
      </c>
    </row>
    <row r="138" ht="30" customHeight="1">
      <c r="A138" s="2" t="inlineStr">
        <is>
          <t>ETO-RD-AR 00662/2026</t>
        </is>
      </c>
      <c r="B138" s="2" t="inlineStr">
        <is>
          <t>abr</t>
        </is>
      </c>
      <c r="C138" s="6" t="inlineStr">
        <is>
          <t>Causa externa ao transformador</t>
        </is>
      </c>
      <c r="D138" s="2" t="inlineStr">
        <is>
          <t>Furto</t>
        </is>
      </c>
      <c r="E138" s="2" t="inlineStr">
        <is>
          <t>EXPURGO</t>
        </is>
      </c>
      <c r="F138" s="2" t="inlineStr">
        <is>
          <t>FURTADO</t>
        </is>
      </c>
      <c r="G138" s="2" t="inlineStr">
        <is>
          <t>esteira 1.582</t>
        </is>
      </c>
      <c r="H138" s="2" t="inlineStr">
        <is>
          <t>FURTO</t>
        </is>
      </c>
      <c r="I138" s="2" t="n">
        <v>5710168016</v>
      </c>
      <c r="J138" s="2" t="inlineStr">
        <is>
          <t>ENC-MLAR01  000174/2026</t>
        </is>
      </c>
      <c r="K138" s="2" t="n">
        <v>612600390</v>
      </c>
      <c r="L138" s="2" t="inlineStr">
        <is>
          <t>2026-04-10 16:26</t>
        </is>
      </c>
      <c r="M138" s="2" t="inlineStr">
        <is>
          <t>2026-04-11 14:55</t>
        </is>
      </c>
      <c r="N138" s="2" t="inlineStr">
        <is>
          <t>FORMS SUBST DE TRANSFORMADOR</t>
        </is>
      </c>
      <c r="O138" s="2" t="inlineStr">
        <is>
          <t>ETO-RD-AR</t>
        </is>
      </c>
      <c r="P138" s="2" t="inlineStr">
        <is>
          <t>WANDERLANDIA</t>
        </is>
      </c>
      <c r="Q138" s="2" t="inlineStr">
        <is>
          <t>FURTADO</t>
        </is>
      </c>
      <c r="R138" s="2" t="inlineStr">
        <is>
          <t>FURTADO</t>
        </is>
      </c>
      <c r="S138" s="2" t="inlineStr">
        <is>
          <t>s/n</t>
        </is>
      </c>
      <c r="T138" s="2" t="n">
        <v>808073</v>
      </c>
      <c r="U138" s="2" t="inlineStr">
        <is>
          <t>sim</t>
        </is>
      </c>
      <c r="V138" s="2" t="inlineStr">
        <is>
          <t>CAUSA NAO IDENTIFICADA</t>
        </is>
      </c>
      <c r="W138" s="2" t="inlineStr">
        <is>
          <t>CAUSA NAO IDENTIFICADA - ESPECIFICAR</t>
        </is>
      </c>
      <c r="X138" s="2" t="inlineStr">
        <is>
          <t>CAUSA NAO IDENTIFICADA</t>
        </is>
      </c>
      <c r="Y138" s="2" t="inlineStr">
        <is>
          <t>CAUSA NAO IDENTIFICADA - ESPECIFICAR</t>
        </is>
      </c>
      <c r="Z138" s="4" t="inlineStr">
        <is>
          <t>não</t>
        </is>
      </c>
      <c r="AA138" s="4" t="inlineStr">
        <is>
          <t>leitura caso a caso</t>
        </is>
      </c>
      <c r="AB138" s="4" t="inlineStr">
        <is>
          <t>Fora do indicador: o texto declara furto, roubo ou vandalismo.</t>
        </is>
      </c>
      <c r="AC138" s="2" t="inlineStr">
        <is>
          <t>TRAFO FURTADOTENSÃO 34,5KVPOTENCIA 15 KVAACESSO BOM</t>
        </is>
      </c>
      <c r="AD138" s="2" t="inlineStr">
        <is>
          <t xml:space="preserve">ETO-RD-AR 662/2026 
TRAFO 5710168016 
TRAFO INSTALADO 
POTÊNCIA : 15 KVA 
TENSÃO :	 34.5 KV 
Nº ENERGISA (CITD) : 150350 
Nº DE SÉRIE : 808073 
MARCA : TRAEL 
DATA FABRICAÇÃO : 02/2026 
IMPEDANCIA : 3,0 
POS. TAP : 05 
</t>
        </is>
      </c>
    </row>
    <row r="139" ht="45" customHeight="1">
      <c r="A139" s="2" t="inlineStr">
        <is>
          <t>ETO-RD-AR 00693/2026</t>
        </is>
      </c>
      <c r="B139" s="2" t="inlineStr">
        <is>
          <t>abr</t>
        </is>
      </c>
      <c r="C139" s="6" t="inlineStr">
        <is>
          <t>Causa externa ao transformador</t>
        </is>
      </c>
      <c r="D139" s="2" t="inlineStr">
        <is>
          <t>Furto</t>
        </is>
      </c>
      <c r="E139" s="2" t="inlineStr">
        <is>
          <t>EXPURGO</t>
        </is>
      </c>
      <c r="F139" s="2" t="inlineStr">
        <is>
          <t>AVARIADO</t>
        </is>
      </c>
      <c r="G139" s="2" t="inlineStr">
        <is>
          <t>esteira 1.582</t>
        </is>
      </c>
      <c r="H139" s="2" t="inlineStr">
        <is>
          <t>FURTO</t>
        </is>
      </c>
      <c r="I139" s="2" t="n">
        <v>5710306004</v>
      </c>
      <c r="J139" s="2" t="inlineStr">
        <is>
          <t>ENC-MLAR05  000193/2026</t>
        </is>
      </c>
      <c r="K139" s="2" t="n">
        <v>612600427</v>
      </c>
      <c r="L139" s="2" t="inlineStr">
        <is>
          <t>2026-04-16 14:36</t>
        </is>
      </c>
      <c r="M139" s="2" t="inlineStr">
        <is>
          <t>2026-04-17 11:45</t>
        </is>
      </c>
      <c r="N139" s="2" t="inlineStr">
        <is>
          <t>FORMS SUBST DE TRANSFORMADOR</t>
        </is>
      </c>
      <c r="O139" s="2" t="inlineStr">
        <is>
          <t>ETO-RD-AR</t>
        </is>
      </c>
      <c r="P139" s="2" t="inlineStr">
        <is>
          <t>ARAGUAINA</t>
        </is>
      </c>
      <c r="Q139" s="2" t="inlineStr">
        <is>
          <t>FURTADO</t>
        </is>
      </c>
      <c r="R139" s="2" t="inlineStr">
        <is>
          <t>FURTADO</t>
        </is>
      </c>
      <c r="S139" s="2" t="inlineStr">
        <is>
          <t>S/N</t>
        </is>
      </c>
      <c r="T139" s="2" t="n">
        <v>827760</v>
      </c>
      <c r="U139" s="2" t="inlineStr">
        <is>
          <t>sim</t>
        </is>
      </c>
      <c r="V139" s="2" t="inlineStr">
        <is>
          <t>TRANSFORMADOR</t>
        </is>
      </c>
      <c r="W139" s="2" t="inlineStr">
        <is>
          <t>VAZAMENTO DE OLEO / TANQUE DETERIORADO</t>
        </is>
      </c>
      <c r="X139" s="2" t="inlineStr">
        <is>
          <t>TRANSFORMADOR</t>
        </is>
      </c>
      <c r="Y139" s="2" t="inlineStr">
        <is>
          <t>VAZAMENTO DE OLEO / TANQUE DETERIORADO</t>
        </is>
      </c>
      <c r="Z139" s="4" t="inlineStr">
        <is>
          <t>não</t>
        </is>
      </c>
      <c r="AA139" s="4" t="inlineStr">
        <is>
          <t>leitura caso a caso</t>
        </is>
      </c>
      <c r="AB139" s="4" t="inlineStr">
        <is>
          <t>Fora do indicador: a obra e o projeto contábil declaram furto. A interrupção descreve o evento elétrico, não a causa da reposição.</t>
        </is>
      </c>
      <c r="AC139" s="2" t="inlineStr">
        <is>
          <t>Trafo: 5710306004 furtado 15kvaTensão: 13.8Acesso: Somente para caminhoneteEndereço: IND FAZENDA TRES RANCHOS, 0 - FAZ. TRES RANCHOSEquipe: 004op11</t>
        </is>
      </c>
      <c r="AD139" s="2" t="inlineStr">
        <is>
          <t xml:space="preserve">ETO-RD-AR 693/2026 
TRAFO 5710306004 
TRAFO INSTALADO 
POTÊNCIA : 15 KVA 
TENSÃO :	 13.8 KV 
Nº ENERGISA (CITD) : 150037 
Nº DE SÉRIE : 827760 
MARCA : TRAEL 
DATA FABRICAÇÃO : 02/2026 
IMPEDANCIA : 2,5 
POS. TAP : 05 
MEDIÇÃO 1: 8,32 
MEDIÇÃO 2: 8,11 
MEDIÇÃO 3: 7,89 
</t>
        </is>
      </c>
    </row>
    <row r="140" ht="30" customHeight="1">
      <c r="A140" s="2" t="inlineStr">
        <is>
          <t>ETO-RD-AR 00694/2026</t>
        </is>
      </c>
      <c r="B140" s="2" t="inlineStr">
        <is>
          <t>abr</t>
        </is>
      </c>
      <c r="C140" s="6" t="inlineStr">
        <is>
          <t>Causa externa ao transformador</t>
        </is>
      </c>
      <c r="D140" s="2" t="inlineStr">
        <is>
          <t>Furto</t>
        </is>
      </c>
      <c r="E140" s="2" t="inlineStr">
        <is>
          <t>EXPURGO</t>
        </is>
      </c>
      <c r="F140" s="2" t="inlineStr">
        <is>
          <t>FURTADO</t>
        </is>
      </c>
      <c r="G140" s="2" t="inlineStr">
        <is>
          <t>esteira 1.582</t>
        </is>
      </c>
      <c r="H140" s="2" t="inlineStr">
        <is>
          <t>FURTO</t>
        </is>
      </c>
      <c r="I140" s="2" t="n">
        <v>5700449058</v>
      </c>
      <c r="J140" s="2" t="inlineStr">
        <is>
          <t>ENC-MPAR01  000027/2026</t>
        </is>
      </c>
      <c r="K140" s="2" t="n">
        <v>612600426</v>
      </c>
      <c r="L140" s="2" t="inlineStr">
        <is>
          <t>2026-04-16 14:46</t>
        </is>
      </c>
      <c r="M140" s="2" t="inlineStr">
        <is>
          <t>2026-04-17 15:30</t>
        </is>
      </c>
      <c r="N140" s="2" t="inlineStr">
        <is>
          <t>FORMS SUBST DE TRANSFORMADOR</t>
        </is>
      </c>
      <c r="O140" s="2" t="inlineStr">
        <is>
          <t>ETO-RD-AR</t>
        </is>
      </c>
      <c r="P140" s="2" t="inlineStr">
        <is>
          <t>SANTA FE DO ARAGUAIA</t>
        </is>
      </c>
      <c r="Q140" s="2" t="inlineStr">
        <is>
          <t>FURTADO</t>
        </is>
      </c>
      <c r="R140" s="2" t="inlineStr">
        <is>
          <t>FURTADO</t>
        </is>
      </c>
      <c r="S140" s="2" t="inlineStr">
        <is>
          <t>S/N</t>
        </is>
      </c>
      <c r="T140" s="2" t="n">
        <v>828068</v>
      </c>
      <c r="U140" s="2" t="inlineStr">
        <is>
          <t>sim</t>
        </is>
      </c>
      <c r="V140" s="2" t="inlineStr">
        <is>
          <t>CAUSADA POR TERCEIROS</t>
        </is>
      </c>
      <c r="W140" s="2" t="inlineStr">
        <is>
          <t>ROUBO DE CONDUTORES</t>
        </is>
      </c>
      <c r="X140" s="2" t="n"/>
      <c r="Y140" s="2" t="n"/>
      <c r="Z140" s="4" t="inlineStr">
        <is>
          <t>não</t>
        </is>
      </c>
      <c r="AA140" s="4" t="inlineStr">
        <is>
          <t>leitura caso a caso</t>
        </is>
      </c>
      <c r="AB140" s="4" t="inlineStr">
        <is>
          <t>Fora do indicador: o texto declara furto, roubo ou vandalismo.</t>
        </is>
      </c>
      <c r="AC140" s="2" t="inlineStr">
        <is>
          <t>Trafo 5700449058 Furtado 15kvaTensão: 34.5Acesso: Livre Endereço: IND FAZENDA DALIA, 0 - CAIXA POSTAL 124Equipe: 040op36</t>
        </is>
      </c>
      <c r="AD140" s="2" t="inlineStr">
        <is>
          <t xml:space="preserve">ETO-RD-AR 694/2026 
TRAFO  5700449058 
TRAFO INSTALADO 
POTÊNCIA : 15 KVA 
TENSÃO :	 34.5 KV 
Nº ENERGISA (CITD) : 150345 
Nº DE SÉRIE : 828068 
MARCA : TRAEL 
DATA FABRICAÇÃO : 02/2026 
IMPEDANCIA : 3,0 
POS. TAP : 05 
MEDIÇÃO 1: 
MEDIÇÃO 2: 
MEDIÇÃO 3: 
</t>
        </is>
      </c>
    </row>
    <row r="141" ht="30" customHeight="1">
      <c r="A141" s="2" t="inlineStr">
        <is>
          <t>DG-RD-PO 00387/2026</t>
        </is>
      </c>
      <c r="B141" s="2" t="inlineStr">
        <is>
          <t>mai</t>
        </is>
      </c>
      <c r="C141" s="6" t="inlineStr">
        <is>
          <t>Causa externa ao transformador</t>
        </is>
      </c>
      <c r="D141" s="2" t="inlineStr">
        <is>
          <t>Furto</t>
        </is>
      </c>
      <c r="E141" s="2" t="inlineStr">
        <is>
          <t>EXPURGO</t>
        </is>
      </c>
      <c r="F141" s="2" t="inlineStr">
        <is>
          <t>FURTADO</t>
        </is>
      </c>
      <c r="G141" s="2" t="inlineStr">
        <is>
          <t>esteira 1.582</t>
        </is>
      </c>
      <c r="H141" s="2" t="inlineStr">
        <is>
          <t>FURTO</t>
        </is>
      </c>
      <c r="I141" s="2" t="n">
        <v>5700478071</v>
      </c>
      <c r="J141" s="2" t="inlineStr">
        <is>
          <t>DG-MLPO02  000073/2026</t>
        </is>
      </c>
      <c r="K141" s="2" t="n">
        <v>312600301</v>
      </c>
      <c r="L141" s="2" t="inlineStr">
        <is>
          <t>2026-05-20 15:39</t>
        </is>
      </c>
      <c r="M141" s="2" t="inlineStr">
        <is>
          <t>2026-05-21 12:44</t>
        </is>
      </c>
      <c r="N141" s="2" t="inlineStr">
        <is>
          <t>FORMS SUBST DE TRANSFORMADOR</t>
        </is>
      </c>
      <c r="O141" s="2" t="inlineStr">
        <is>
          <t>DG-RD-PO</t>
        </is>
      </c>
      <c r="P141" s="2" t="inlineStr">
        <is>
          <t>BREJINHO DE NAZARE</t>
        </is>
      </c>
      <c r="Q141" s="2" t="inlineStr">
        <is>
          <t>FURTADO</t>
        </is>
      </c>
      <c r="R141" s="2" t="inlineStr">
        <is>
          <t>FURTADO</t>
        </is>
      </c>
      <c r="S141" s="2" t="inlineStr">
        <is>
          <t>n/t</t>
        </is>
      </c>
      <c r="T141" s="2" t="n">
        <v>29826</v>
      </c>
      <c r="U141" s="2" t="inlineStr">
        <is>
          <t>sim</t>
        </is>
      </c>
      <c r="V141" s="2" t="n"/>
      <c r="W141" s="2" t="n"/>
      <c r="X141" s="2" t="n"/>
      <c r="Y141" s="2" t="n"/>
      <c r="Z141" s="4" t="inlineStr">
        <is>
          <t>não</t>
        </is>
      </c>
      <c r="AA141" s="4" t="inlineStr">
        <is>
          <t>leitura caso a caso</t>
        </is>
      </c>
      <c r="AB141" s="4" t="inlineStr">
        <is>
          <t>Fora do indicador: o texto declara furto, roubo ou vandalismo.</t>
        </is>
      </c>
      <c r="AC141" s="2" t="inlineStr">
        <is>
          <t>SS PARA INSTALAR TRAFO DA PRAINHA DE BREIIM DE NAZARE 5700478071 O MESMO TINHA CIDO FURTADO NA EPOCA.POTENCIA: 45KVA 13800ACESSO: LIVRE</t>
        </is>
      </c>
      <c r="AD141" s="2" t="inlineStr">
        <is>
          <t xml:space="preserve">medido_ 
emergencial_ 
instalação de trafo praia brejinho </t>
        </is>
      </c>
    </row>
    <row r="142" ht="30" customHeight="1">
      <c r="A142" s="2" t="inlineStr">
        <is>
          <t>ETO-RD-GR 00511/2026</t>
        </is>
      </c>
      <c r="B142" s="2" t="inlineStr">
        <is>
          <t>mai</t>
        </is>
      </c>
      <c r="C142" s="6" t="inlineStr">
        <is>
          <t>Causa externa ao transformador</t>
        </is>
      </c>
      <c r="D142" s="2" t="inlineStr">
        <is>
          <t>Furto</t>
        </is>
      </c>
      <c r="E142" s="2" t="inlineStr">
        <is>
          <t>EXPURGO</t>
        </is>
      </c>
      <c r="F142" s="2" t="inlineStr">
        <is>
          <t>FURTADO</t>
        </is>
      </c>
      <c r="G142" s="2" t="inlineStr">
        <is>
          <t>esteira 1.582</t>
        </is>
      </c>
      <c r="H142" s="2" t="inlineStr">
        <is>
          <t>FURTO</t>
        </is>
      </c>
      <c r="I142" s="2" t="n">
        <v>5710032087</v>
      </c>
      <c r="J142" s="2" t="inlineStr">
        <is>
          <t>ENC-MLGR02  000097/2026</t>
        </is>
      </c>
      <c r="K142" s="2" t="n">
        <v>712600353</v>
      </c>
      <c r="L142" s="2" t="inlineStr">
        <is>
          <t>2026-05-05 16:23</t>
        </is>
      </c>
      <c r="M142" s="2" t="inlineStr">
        <is>
          <t>2026-05-07 12:40</t>
        </is>
      </c>
      <c r="N142" s="2" t="inlineStr">
        <is>
          <t>FORMS SUBST DE TRANSFORMADOR</t>
        </is>
      </c>
      <c r="O142" s="2" t="inlineStr">
        <is>
          <t>ETO-RD-GR</t>
        </is>
      </c>
      <c r="P142" s="2" t="inlineStr">
        <is>
          <t>GOIANORTE</t>
        </is>
      </c>
      <c r="Q142" s="2" t="inlineStr">
        <is>
          <t>FURTADO</t>
        </is>
      </c>
      <c r="R142" s="2" t="inlineStr">
        <is>
          <t>FURTADO</t>
        </is>
      </c>
      <c r="S142" s="2" t="inlineStr">
        <is>
          <t>0</t>
        </is>
      </c>
      <c r="T142" s="2" t="n">
        <v>827948</v>
      </c>
      <c r="U142" s="2" t="inlineStr">
        <is>
          <t>não</t>
        </is>
      </c>
      <c r="V142" s="2" t="n"/>
      <c r="W142" s="2" t="n"/>
      <c r="X142" s="2" t="n"/>
      <c r="Y142" s="2" t="n"/>
      <c r="Z142" s="4" t="inlineStr">
        <is>
          <t>não</t>
        </is>
      </c>
      <c r="AA142" s="4" t="inlineStr">
        <is>
          <t>leitura caso a caso</t>
        </is>
      </c>
      <c r="AB142" s="4" t="inlineStr">
        <is>
          <t>Fora do indicador: o texto declara furto, roubo ou vandalismo.</t>
        </is>
      </c>
      <c r="AC142" s="2" t="inlineStr">
        <is>
          <t>acionar equipe de manutencao para instalar toda estrutura do  trafo 5710032087 com chave e 50m de cabo AA/4 para atende a OS 108187588 equipe 087op01acesso livre</t>
        </is>
      </c>
      <c r="AD142" s="2"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t>
        </is>
      </c>
    </row>
    <row r="143" ht="30" customHeight="1">
      <c r="A143" s="2" t="inlineStr">
        <is>
          <t>ETO-RD-GR 00537/2026</t>
        </is>
      </c>
      <c r="B143" s="2" t="inlineStr">
        <is>
          <t>mai</t>
        </is>
      </c>
      <c r="C143" s="6" t="inlineStr">
        <is>
          <t>Causa externa ao transformador</t>
        </is>
      </c>
      <c r="D143" s="2" t="inlineStr">
        <is>
          <t>Furto</t>
        </is>
      </c>
      <c r="E143" s="2" t="inlineStr">
        <is>
          <t>EXPURGO</t>
        </is>
      </c>
      <c r="F143" s="2" t="inlineStr">
        <is>
          <t>FURTADO</t>
        </is>
      </c>
      <c r="G143" s="2" t="inlineStr">
        <is>
          <t>esteira 1.582</t>
        </is>
      </c>
      <c r="H143" s="2" t="inlineStr">
        <is>
          <t>FURTO</t>
        </is>
      </c>
      <c r="I143" s="2" t="n">
        <v>5728443153</v>
      </c>
      <c r="J143" s="2" t="inlineStr">
        <is>
          <t>ENC-MLGR02  000105/2026</t>
        </is>
      </c>
      <c r="K143" s="2" t="n">
        <v>712600359</v>
      </c>
      <c r="L143" s="2" t="inlineStr">
        <is>
          <t>2026-05-17 14:36</t>
        </is>
      </c>
      <c r="M143" s="2" t="inlineStr">
        <is>
          <t>2026-05-18 16:51</t>
        </is>
      </c>
      <c r="N143" s="2" t="inlineStr">
        <is>
          <t>FORMS SUBST DE TRANSFORMADOR</t>
        </is>
      </c>
      <c r="O143" s="2" t="inlineStr">
        <is>
          <t>ETO-RD-GR</t>
        </is>
      </c>
      <c r="P143" s="2" t="inlineStr">
        <is>
          <t>BERNARDO SAYAO</t>
        </is>
      </c>
      <c r="Q143" s="2" t="inlineStr">
        <is>
          <t>FURTADO</t>
        </is>
      </c>
      <c r="R143" s="2" t="inlineStr">
        <is>
          <t>FURTADO</t>
        </is>
      </c>
      <c r="S143" s="2" t="inlineStr">
        <is>
          <t>0</t>
        </is>
      </c>
      <c r="T143" s="2" t="n">
        <v>362706</v>
      </c>
      <c r="U143" s="2" t="inlineStr">
        <is>
          <t>não</t>
        </is>
      </c>
      <c r="V143" s="2" t="n"/>
      <c r="W143" s="2" t="n"/>
      <c r="X143" s="2" t="n"/>
      <c r="Y143" s="2" t="n"/>
      <c r="Z143" s="4" t="inlineStr">
        <is>
          <t>não</t>
        </is>
      </c>
      <c r="AA143" s="4" t="inlineStr">
        <is>
          <t>leitura caso a caso</t>
        </is>
      </c>
      <c r="AB143" s="4" t="inlineStr">
        <is>
          <t>Fora do indicador: o texto declara furto, roubo ou vandalismo.</t>
        </is>
      </c>
      <c r="AC143" s="2" t="inlineStr">
        <is>
          <t>Boa tarde,Favor enviar manutenção para instalar trafo furtado na UC 2863234</t>
        </is>
      </c>
      <c r="AD143" s="2"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44" ht="30" customHeight="1">
      <c r="A144" s="2" t="inlineStr">
        <is>
          <t>ETO-RD-AG 00644/2026</t>
        </is>
      </c>
      <c r="B144" s="2" t="inlineStr">
        <is>
          <t>jun</t>
        </is>
      </c>
      <c r="C144" s="6" t="inlineStr">
        <is>
          <t>Causa externa ao transformador</t>
        </is>
      </c>
      <c r="D144" s="2" t="inlineStr">
        <is>
          <t>Furto</t>
        </is>
      </c>
      <c r="E144" s="2" t="inlineStr">
        <is>
          <t>EXPURGO</t>
        </is>
      </c>
      <c r="F144" s="2" t="inlineStr">
        <is>
          <t>FURTADO</t>
        </is>
      </c>
      <c r="G144" s="2" t="inlineStr">
        <is>
          <t>esteira 1.582</t>
        </is>
      </c>
      <c r="H144" s="2" t="inlineStr">
        <is>
          <t>FURTO</t>
        </is>
      </c>
      <c r="I144" s="2" t="n">
        <v>5700098098</v>
      </c>
      <c r="J144" s="2" t="inlineStr">
        <is>
          <t>ENC-MPAG01  000294/2026</t>
        </is>
      </c>
      <c r="K144" s="2" t="n">
        <v>662600398</v>
      </c>
      <c r="L144" s="2" t="inlineStr">
        <is>
          <t>2026-06-26 16:13</t>
        </is>
      </c>
      <c r="M144" s="2" t="inlineStr">
        <is>
          <t>2026-06-28 14:07</t>
        </is>
      </c>
      <c r="N144" s="2" t="inlineStr">
        <is>
          <t>SOLICITAÇÃO DE SERVIÇO</t>
        </is>
      </c>
      <c r="O144" s="2" t="inlineStr">
        <is>
          <t>ETO-RD-AG</t>
        </is>
      </c>
      <c r="P144" s="2" t="inlineStr">
        <is>
          <t>ANANAS</t>
        </is>
      </c>
      <c r="Q144" s="2" t="inlineStr">
        <is>
          <t>FURTADO</t>
        </is>
      </c>
      <c r="R144" s="2" t="inlineStr">
        <is>
          <t>FURTADO</t>
        </is>
      </c>
      <c r="S144" s="2" t="inlineStr">
        <is>
          <t>0</t>
        </is>
      </c>
      <c r="T144" s="2" t="n">
        <v>836240</v>
      </c>
      <c r="U144" s="2" t="inlineStr">
        <is>
          <t>não</t>
        </is>
      </c>
      <c r="V144" s="2" t="n"/>
      <c r="W144" s="2" t="n"/>
      <c r="X144" s="2" t="n"/>
      <c r="Y144" s="2" t="n"/>
      <c r="Z144" s="4" t="inlineStr">
        <is>
          <t>não</t>
        </is>
      </c>
      <c r="AA144" s="4" t="inlineStr">
        <is>
          <t>leitura caso a caso</t>
        </is>
      </c>
      <c r="AB144" s="4" t="inlineStr">
        <is>
          <t>Fora do indicador: o texto declara furto, roubo ou vandalismo.</t>
        </is>
      </c>
      <c r="AC144" s="2" t="inlineStr">
        <is>
          <t>Boa Tarde!Segue SS para instalação de trafo furtado 5700098098 15KVA.Endereço:</t>
        </is>
      </c>
      <c r="AD144" s="2"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145" ht="30" customHeight="1">
      <c r="A145" s="2" t="inlineStr">
        <is>
          <t>ETO-RD-AR 00952/2026</t>
        </is>
      </c>
      <c r="B145" s="2" t="inlineStr">
        <is>
          <t>jun</t>
        </is>
      </c>
      <c r="C145" s="6" t="inlineStr">
        <is>
          <t>Causa externa ao transformador</t>
        </is>
      </c>
      <c r="D145" s="2" t="inlineStr">
        <is>
          <t>Furto</t>
        </is>
      </c>
      <c r="E145" s="2" t="inlineStr">
        <is>
          <t>EXPURGO</t>
        </is>
      </c>
      <c r="F145" s="2" t="inlineStr">
        <is>
          <t>FURTADO</t>
        </is>
      </c>
      <c r="G145" s="2" t="inlineStr">
        <is>
          <t>esteira 1.582</t>
        </is>
      </c>
      <c r="H145" s="2" t="inlineStr">
        <is>
          <t>FURTO</t>
        </is>
      </c>
      <c r="I145" s="2" t="n">
        <v>5710163053</v>
      </c>
      <c r="J145" s="2" t="inlineStr">
        <is>
          <t>ENC-MLAR05  000312/2026</t>
        </is>
      </c>
      <c r="K145" s="2" t="n">
        <v>612600604</v>
      </c>
      <c r="L145" s="2" t="inlineStr">
        <is>
          <t>2026-06-08 12:20</t>
        </is>
      </c>
      <c r="M145" s="2" t="inlineStr">
        <is>
          <t>2026-06-10 15:36</t>
        </is>
      </c>
      <c r="N145" s="2" t="inlineStr">
        <is>
          <t>FORMS SUBST DE TRANSFORMADOR</t>
        </is>
      </c>
      <c r="O145" s="2" t="inlineStr">
        <is>
          <t>ETO-RD-AR</t>
        </is>
      </c>
      <c r="P145" s="2" t="inlineStr">
        <is>
          <t>PIRAQUE</t>
        </is>
      </c>
      <c r="Q145" s="2" t="inlineStr">
        <is>
          <t>FURTADO</t>
        </is>
      </c>
      <c r="R145" s="2" t="inlineStr">
        <is>
          <t>FURTADO</t>
        </is>
      </c>
      <c r="S145" s="2" t="inlineStr">
        <is>
          <t>S/N</t>
        </is>
      </c>
      <c r="T145" s="2" t="n">
        <v>1026211</v>
      </c>
      <c r="U145" s="2" t="inlineStr">
        <is>
          <t>sim</t>
        </is>
      </c>
      <c r="V145" s="2" t="n"/>
      <c r="W145" s="2" t="n"/>
      <c r="X145" s="2" t="inlineStr">
        <is>
          <t>CHAVE FUSIVEL/RELIGADORA</t>
        </is>
      </c>
      <c r="Y145" s="2" t="inlineStr">
        <is>
          <t>ELO SUBDIMENSIONADO</t>
        </is>
      </c>
      <c r="Z145" s="4" t="inlineStr">
        <is>
          <t>não</t>
        </is>
      </c>
      <c r="AA145" s="4" t="inlineStr">
        <is>
          <t>leitura caso a caso</t>
        </is>
      </c>
      <c r="AB145" s="4" t="inlineStr">
        <is>
          <t>Fora do indicador: o texto declara furto, roubo ou vandalismo.</t>
        </is>
      </c>
      <c r="AC145" s="2" t="inlineStr">
        <is>
          <t>Segue nota para substituiçao  de trafo 5710163053 (Furtado) , chave 34,5 kv, e cabo multiplex Bifasico 25 mm 300 metros de cabo devido o mesmo estar com muitas emendas em campo</t>
        </is>
      </c>
      <c r="AD145" s="2" t="inlineStr">
        <is>
          <t xml:space="preserve">ETO-RD-AR 952/2026 
TRAFO INSTALADO 
POTÊNCIA : 15 KVA 
TENSÃO :	 34.5 KV 
Nº ENERGISA (CITD) : 149654 
Nº DE SÉRIE : 1026211 
MARCA : TRAEL 
DATA FABRICAÇÃO : 07/2026 
IMPEDANCIA : 2,9 
POS. TAP : 05 
</t>
        </is>
      </c>
    </row>
    <row r="146" ht="45" customHeight="1">
      <c r="A146" s="2" t="inlineStr">
        <is>
          <t>ETO-RD-AR 00991/2026</t>
        </is>
      </c>
      <c r="B146" s="2" t="inlineStr">
        <is>
          <t>jun</t>
        </is>
      </c>
      <c r="C146" s="6" t="inlineStr">
        <is>
          <t>Causa externa ao transformador</t>
        </is>
      </c>
      <c r="D146" s="2" t="inlineStr">
        <is>
          <t>Furto</t>
        </is>
      </c>
      <c r="E146" s="2" t="inlineStr">
        <is>
          <t>EXPURGO</t>
        </is>
      </c>
      <c r="F146" s="2" t="inlineStr">
        <is>
          <t>FURTADO</t>
        </is>
      </c>
      <c r="G146" s="2" t="inlineStr">
        <is>
          <t>esteira 1.582</t>
        </is>
      </c>
      <c r="H146" s="2" t="inlineStr">
        <is>
          <t>FURTO</t>
        </is>
      </c>
      <c r="I146" s="2" t="n">
        <v>5755060004</v>
      </c>
      <c r="J146" s="2" t="inlineStr">
        <is>
          <t>ENC-MLAR02  000114/2026</t>
        </is>
      </c>
      <c r="K146" s="2" t="n">
        <v>612600628</v>
      </c>
      <c r="L146" s="2" t="inlineStr">
        <is>
          <t>2026-06-18 16:41</t>
        </is>
      </c>
      <c r="M146" s="2" t="inlineStr">
        <is>
          <t>2026-06-19 12:00</t>
        </is>
      </c>
      <c r="N146" s="2" t="inlineStr">
        <is>
          <t>FORMS SUBST DE TRANSFORMADOR</t>
        </is>
      </c>
      <c r="O146" s="2" t="inlineStr">
        <is>
          <t>ETO-RD-AR</t>
        </is>
      </c>
      <c r="P146" s="2" t="inlineStr">
        <is>
          <t>ARAGUAINA</t>
        </is>
      </c>
      <c r="Q146" s="2" t="inlineStr">
        <is>
          <t>AVARIADO</t>
        </is>
      </c>
      <c r="R146" s="2" t="inlineStr">
        <is>
          <t>VANDALISMO</t>
        </is>
      </c>
      <c r="S146" s="2" t="inlineStr">
        <is>
          <t>Z241398</t>
        </is>
      </c>
      <c r="T146" s="2" t="n"/>
      <c r="U146" s="2" t="inlineStr">
        <is>
          <t>não</t>
        </is>
      </c>
      <c r="V146" s="2" t="n"/>
      <c r="W146" s="2" t="n"/>
      <c r="X146" s="2" t="n"/>
      <c r="Y146" s="2" t="n"/>
      <c r="Z146" s="4" t="inlineStr">
        <is>
          <t>não</t>
        </is>
      </c>
      <c r="AA146" s="4" t="inlineStr">
        <is>
          <t>leitura caso a caso</t>
        </is>
      </c>
      <c r="AB146" s="4" t="inlineStr">
        <is>
          <t>Fora do indicador: o texto declara furto, roubo ou vandalismo — mas o texto presume, não constata.</t>
        </is>
      </c>
      <c r="AC146" s="2" t="inlineStr">
        <is>
          <t>Trafo 5755060004  25kva Acesso: livreEquipe:004op03Contato da equipe: 99216-8451Chacara morada do solSinais de vandalismo</t>
        </is>
      </c>
      <c r="AD146" s="2" t="inlineStr">
        <is>
          <t xml:space="preserve">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 
</t>
        </is>
      </c>
    </row>
    <row r="147" ht="30" customHeight="1">
      <c r="A147" s="2" t="inlineStr">
        <is>
          <t>ETO-RD-GR 00659/2026</t>
        </is>
      </c>
      <c r="B147" s="2" t="inlineStr">
        <is>
          <t>jun</t>
        </is>
      </c>
      <c r="C147" s="6" t="inlineStr">
        <is>
          <t>Causa externa ao transformador</t>
        </is>
      </c>
      <c r="D147" s="2" t="inlineStr">
        <is>
          <t>Furto</t>
        </is>
      </c>
      <c r="E147" s="2" t="inlineStr">
        <is>
          <t>EXPURGO</t>
        </is>
      </c>
      <c r="F147" s="2" t="inlineStr">
        <is>
          <t>FURTADO</t>
        </is>
      </c>
      <c r="G147" s="2" t="inlineStr">
        <is>
          <t>esteira 1.582</t>
        </is>
      </c>
      <c r="H147" s="2" t="inlineStr">
        <is>
          <t>FURTO</t>
        </is>
      </c>
      <c r="I147" s="2" t="n">
        <v>5700809009</v>
      </c>
      <c r="J147" s="2" t="inlineStr">
        <is>
          <t>ENC-MPGR01  000123/2026</t>
        </is>
      </c>
      <c r="K147" s="2" t="n">
        <v>712600436</v>
      </c>
      <c r="L147" s="2" t="inlineStr">
        <is>
          <t>2026-06-27 12:43</t>
        </is>
      </c>
      <c r="M147" s="2" t="inlineStr">
        <is>
          <t>2026-06-28 11:45</t>
        </is>
      </c>
      <c r="N147" s="2" t="inlineStr">
        <is>
          <t>FORMS SUBST DE TRANSFORMADOR</t>
        </is>
      </c>
      <c r="O147" s="2" t="inlineStr">
        <is>
          <t>ETO-RD-GR</t>
        </is>
      </c>
      <c r="P147" s="2" t="inlineStr">
        <is>
          <t>GUARAI</t>
        </is>
      </c>
      <c r="Q147" s="2" t="inlineStr">
        <is>
          <t>FURTADO</t>
        </is>
      </c>
      <c r="R147" s="2" t="inlineStr">
        <is>
          <t>FURTADO</t>
        </is>
      </c>
      <c r="S147" s="2" t="inlineStr">
        <is>
          <t>0</t>
        </is>
      </c>
      <c r="T147" s="2" t="n"/>
      <c r="U147" s="2" t="inlineStr">
        <is>
          <t>não</t>
        </is>
      </c>
      <c r="V147" s="2" t="n"/>
      <c r="W147" s="2" t="n"/>
      <c r="X147" s="2" t="n"/>
      <c r="Y147" s="2" t="n"/>
      <c r="Z147" s="4" t="inlineStr">
        <is>
          <t>não</t>
        </is>
      </c>
      <c r="AA147" s="4" t="inlineStr">
        <is>
          <t>leitura caso a caso</t>
        </is>
      </c>
      <c r="AB147" s="4" t="inlineStr">
        <is>
          <t>Fora do indicador: o texto declara furto, roubo ou vandalismo.</t>
        </is>
      </c>
      <c r="AC147" s="2"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D147" s="2" t="inlineStr">
        <is>
          <t xml:space="preserve">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 
</t>
        </is>
      </c>
    </row>
    <row r="148" ht="75" customHeight="1">
      <c r="A148" s="2" t="inlineStr">
        <is>
          <t>DG-RD-PO 00449/2026</t>
        </is>
      </c>
      <c r="B148" s="2" t="inlineStr">
        <is>
          <t>jul</t>
        </is>
      </c>
      <c r="C148" s="6" t="inlineStr">
        <is>
          <t>Causa externa ao transformador</t>
        </is>
      </c>
      <c r="D148" s="2" t="inlineStr">
        <is>
          <t>Furto</t>
        </is>
      </c>
      <c r="E148" s="2" t="inlineStr">
        <is>
          <t>EXPURGO</t>
        </is>
      </c>
      <c r="F148" s="2" t="inlineStr">
        <is>
          <t>FURTADO</t>
        </is>
      </c>
      <c r="G148" s="2" t="inlineStr">
        <is>
          <t>leitura do texto (jan–ago)</t>
        </is>
      </c>
      <c r="H148" s="2" t="inlineStr">
        <is>
          <t>FURTO</t>
        </is>
      </c>
      <c r="I148" s="2" t="n">
        <v>5700396250</v>
      </c>
      <c r="J148" s="2" t="inlineStr">
        <is>
          <t>DG-MPDG01  000114/2026</t>
        </is>
      </c>
      <c r="K148" s="2" t="n">
        <v>312600359</v>
      </c>
      <c r="L148" s="2" t="inlineStr">
        <is>
          <t>2026-07-06 18:13</t>
        </is>
      </c>
      <c r="M148" s="2" t="inlineStr">
        <is>
          <t>2026-07-07 20:00</t>
        </is>
      </c>
      <c r="N148" s="2" t="inlineStr">
        <is>
          <t>FORMS SUBST DE TRANSFORMADOR</t>
        </is>
      </c>
      <c r="O148" s="2" t="inlineStr">
        <is>
          <t>DG-RD-PO</t>
        </is>
      </c>
      <c r="P148" s="2" t="inlineStr">
        <is>
          <t>IPUEIRAS</t>
        </is>
      </c>
      <c r="Q148" s="2" t="inlineStr">
        <is>
          <t>FURTADO</t>
        </is>
      </c>
      <c r="R148" s="2" t="inlineStr">
        <is>
          <t>FURTADO</t>
        </is>
      </c>
      <c r="S148" s="2" t="inlineStr">
        <is>
          <t>661260</t>
        </is>
      </c>
      <c r="T148" s="2" t="n">
        <v>830302</v>
      </c>
      <c r="U148" s="2" t="inlineStr">
        <is>
          <t>sim</t>
        </is>
      </c>
      <c r="V148" s="2" t="n"/>
      <c r="W148" s="2" t="n"/>
      <c r="X148" s="2" t="n"/>
      <c r="Y148" s="2" t="n"/>
      <c r="Z148" s="4" t="inlineStr">
        <is>
          <t>não</t>
        </is>
      </c>
      <c r="AA148" s="4" t="inlineStr">
        <is>
          <t>leitura caso a caso</t>
        </is>
      </c>
      <c r="AB148" s="4" t="inlineStr">
        <is>
          <t>SS, OS e formulário de campo convergem: transformador furtado na RDR de Ipueiras, inclusive o para-raio. Não há falha do equipamento. Sem conferência na base de interrupção (julho não carregado).</t>
        </is>
      </c>
      <c r="AC148" s="2" t="inlineStr">
        <is>
          <t>Segue SS para atendimento com equipe de manutenção , instalar trafo 5700396250 FURTADO na RDR de impueiras , tensão 34,5 , acesso livre , . para-raio furtado , potencia 15 kva</t>
        </is>
      </c>
      <c r="AD148" s="2" t="inlineStr">
        <is>
          <t xml:space="preserve">medido_ 
emergencial_ 
substituiçaõ de trafo furtado rdr ipueiras 
</t>
        </is>
      </c>
    </row>
    <row r="149" ht="75" customHeight="1">
      <c r="A149" s="2" t="inlineStr">
        <is>
          <t>ETO-RD-AR 01089/2026</t>
        </is>
      </c>
      <c r="B149" s="2" t="inlineStr">
        <is>
          <t>jul</t>
        </is>
      </c>
      <c r="C149" s="6" t="inlineStr">
        <is>
          <t>Causa externa ao transformador</t>
        </is>
      </c>
      <c r="D149" s="2" t="inlineStr">
        <is>
          <t>Furto</t>
        </is>
      </c>
      <c r="E149" s="2" t="inlineStr">
        <is>
          <t>EXPURGO</t>
        </is>
      </c>
      <c r="F149" s="2" t="inlineStr">
        <is>
          <t>FURTADO</t>
        </is>
      </c>
      <c r="G149" s="2" t="inlineStr">
        <is>
          <t>leitura do texto (jan–ago)</t>
        </is>
      </c>
      <c r="H149" s="2" t="inlineStr">
        <is>
          <t>FURTO</t>
        </is>
      </c>
      <c r="I149" s="2" t="n">
        <v>5700674080</v>
      </c>
      <c r="J149" s="2" t="inlineStr">
        <is>
          <t>ENC-MLAR03  000089/2026</t>
        </is>
      </c>
      <c r="K149" s="2" t="n">
        <v>612600685</v>
      </c>
      <c r="L149" s="2" t="inlineStr">
        <is>
          <t>2026-07-10 21:13</t>
        </is>
      </c>
      <c r="M149" s="2" t="inlineStr">
        <is>
          <t>2026-07-11 17:40</t>
        </is>
      </c>
      <c r="N149" s="2" t="inlineStr">
        <is>
          <t>FORMS SUBST DE TRANSFORMADOR</t>
        </is>
      </c>
      <c r="O149" s="2" t="inlineStr">
        <is>
          <t>ETO-RD-AR</t>
        </is>
      </c>
      <c r="P149" s="2" t="inlineStr">
        <is>
          <t>DARCINOPOLIS</t>
        </is>
      </c>
      <c r="Q149" s="2" t="inlineStr">
        <is>
          <t>FURTADO</t>
        </is>
      </c>
      <c r="R149" s="2" t="inlineStr">
        <is>
          <t>FURTADO</t>
        </is>
      </c>
      <c r="S149" s="2" t="inlineStr">
        <is>
          <t>S/N</t>
        </is>
      </c>
      <c r="T149" s="2" t="n"/>
      <c r="U149" s="2" t="inlineStr">
        <is>
          <t>não</t>
        </is>
      </c>
      <c r="V149" s="2" t="n"/>
      <c r="W149" s="2" t="n"/>
      <c r="X149" s="2" t="n"/>
      <c r="Y149" s="2" t="n"/>
      <c r="Z149" s="4" t="inlineStr">
        <is>
          <t>não</t>
        </is>
      </c>
      <c r="AA149" s="4" t="inlineStr">
        <is>
          <t>leitura caso a caso</t>
        </is>
      </c>
      <c r="AB149" s="4" t="inlineStr">
        <is>
          <t>Transformador furtado; a OS registra apenas a instalação do novo equipamento, sem retirada (retirado S/N). Furto não conta no indicador. Não houve conferência na base de interrupção (julho não carregado).</t>
        </is>
      </c>
      <c r="AC149" s="2" t="inlineStr">
        <is>
          <t>TRAFO FURTADO 5700674080 - 15KVA - 34,5KV + PARA RAIO ACESSO CAMINHONETE. IND FAZENDA PONTAL, 0 - G. MAIOR SOBRADINHO - RAIMUNDO PEREIRA DE CARVALHO - UC 9936238 - 63981012480 - RDR DARCINOPOLIS</t>
        </is>
      </c>
      <c r="AD149" s="2" t="inlineStr">
        <is>
          <t xml:space="preserve">ETO-RD-A 1089/2026 
TRAFO INSTALADO 
POTÊNCIA : 15 KVA 
TENSÃO :	 34.5 KV 
Nº ENERGISA (CITD) : 151687 
Nº DE SÉRIE : C 308256 
MARCA : ITAM 
DATA FABRICAÇÃO : 21/04/2026 
IMPEDANCIA : 3,02 
POS. TAP : 05 
</t>
        </is>
      </c>
    </row>
    <row r="150" ht="60" customHeight="1">
      <c r="A150" s="2" t="inlineStr">
        <is>
          <t>ETO-RD-AR 01124/2026</t>
        </is>
      </c>
      <c r="B150" s="2" t="inlineStr">
        <is>
          <t>jul</t>
        </is>
      </c>
      <c r="C150" s="6" t="inlineStr">
        <is>
          <t>Causa externa ao transformador</t>
        </is>
      </c>
      <c r="D150" s="2" t="inlineStr">
        <is>
          <t>Furto</t>
        </is>
      </c>
      <c r="E150" s="2" t="inlineStr">
        <is>
          <t>EXPURGO</t>
        </is>
      </c>
      <c r="F150" s="2" t="inlineStr">
        <is>
          <t>FURTADO</t>
        </is>
      </c>
      <c r="G150" s="2" t="inlineStr">
        <is>
          <t>leitura do texto (jan–ago)</t>
        </is>
      </c>
      <c r="H150" s="2" t="inlineStr">
        <is>
          <t>FURTO</t>
        </is>
      </c>
      <c r="I150" s="2" t="n">
        <v>5742109004</v>
      </c>
      <c r="J150" s="2" t="inlineStr">
        <is>
          <t>ENC-MLAR01  000280/2026</t>
        </is>
      </c>
      <c r="K150" s="2" t="n">
        <v>612600711</v>
      </c>
      <c r="L150" s="2" t="inlineStr">
        <is>
          <t>2026-07-17 11:36</t>
        </is>
      </c>
      <c r="M150" s="2" t="inlineStr">
        <is>
          <t>2026-07-18 12:00</t>
        </is>
      </c>
      <c r="N150" s="2" t="inlineStr">
        <is>
          <t>FORMS SUBST DE TRANSFORMADOR</t>
        </is>
      </c>
      <c r="O150" s="2" t="inlineStr">
        <is>
          <t>ETO-RD-AR</t>
        </is>
      </c>
      <c r="P150" s="2" t="inlineStr">
        <is>
          <t>ARAGUAINA</t>
        </is>
      </c>
      <c r="Q150" s="2" t="inlineStr">
        <is>
          <t>FURTADO</t>
        </is>
      </c>
      <c r="R150" s="2" t="inlineStr">
        <is>
          <t>FURTADO</t>
        </is>
      </c>
      <c r="S150" s="2" t="inlineStr">
        <is>
          <t>S/N</t>
        </is>
      </c>
      <c r="T150" s="2" t="n"/>
      <c r="U150" s="2" t="inlineStr">
        <is>
          <t>não</t>
        </is>
      </c>
      <c r="V150" s="2" t="n"/>
      <c r="W150" s="2" t="n"/>
      <c r="X150" s="2" t="n"/>
      <c r="Y150" s="2" t="n"/>
      <c r="Z150" s="4" t="inlineStr">
        <is>
          <t>não</t>
        </is>
      </c>
      <c r="AA150" s="4" t="inlineStr">
        <is>
          <t>leitura caso a caso</t>
        </is>
      </c>
      <c r="AB150" s="4" t="inlineStr">
        <is>
          <t>Instalação de transformador em posto cujo equipamento anterior foi furtado (retirado S/N). Não conta no indicador. Não houve conferência na base de interrupção (julho não carregado).</t>
        </is>
      </c>
      <c r="AC150" s="2" t="inlineStr">
        <is>
          <t>Bom dia!Senhores, enviar equipe de manutenção para instalar trafo 5742109004 15kva 34.5kv o antigo foi furtado.</t>
        </is>
      </c>
      <c r="AD150" s="2"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151" ht="90" customHeight="1">
      <c r="A151" s="2" t="inlineStr">
        <is>
          <t>ETO-RD-AR 01136/2026</t>
        </is>
      </c>
      <c r="B151" s="2" t="inlineStr">
        <is>
          <t>jul</t>
        </is>
      </c>
      <c r="C151" s="6" t="inlineStr">
        <is>
          <t>Causa externa ao transformador</t>
        </is>
      </c>
      <c r="D151" s="2" t="inlineStr">
        <is>
          <t>Furto</t>
        </is>
      </c>
      <c r="E151" s="2" t="inlineStr">
        <is>
          <t>EXPURGO</t>
        </is>
      </c>
      <c r="F151" s="2" t="inlineStr">
        <is>
          <t>FURTADO</t>
        </is>
      </c>
      <c r="G151" s="2" t="inlineStr">
        <is>
          <t>leitura do texto (jan–ago)</t>
        </is>
      </c>
      <c r="H151" s="2" t="inlineStr">
        <is>
          <t>FURTO</t>
        </is>
      </c>
      <c r="I151" s="2" t="n">
        <v>5700692040</v>
      </c>
      <c r="J151" s="2" t="inlineStr">
        <is>
          <t>ENC-MLAR05  000378/2026</t>
        </is>
      </c>
      <c r="K151" s="2" t="n">
        <v>612600722</v>
      </c>
      <c r="L151" s="2" t="inlineStr">
        <is>
          <t>2026-07-21 21:51</t>
        </is>
      </c>
      <c r="M151" s="2" t="inlineStr">
        <is>
          <t>2026-07-22 16:30</t>
        </is>
      </c>
      <c r="N151" s="2" t="inlineStr">
        <is>
          <t>FORMS SUBST DE TRANSFORMADOR</t>
        </is>
      </c>
      <c r="O151" s="2" t="inlineStr">
        <is>
          <t>ETO-RD-AR</t>
        </is>
      </c>
      <c r="P151" s="2" t="inlineStr">
        <is>
          <t>ARAGOMINAS</t>
        </is>
      </c>
      <c r="Q151" s="2" t="inlineStr">
        <is>
          <t>FURTADO</t>
        </is>
      </c>
      <c r="R151" s="2" t="inlineStr">
        <is>
          <t>FURTADO</t>
        </is>
      </c>
      <c r="S151" s="2" t="inlineStr">
        <is>
          <t>0</t>
        </is>
      </c>
      <c r="T151" s="2" t="n"/>
      <c r="U151" s="2" t="inlineStr">
        <is>
          <t>não</t>
        </is>
      </c>
      <c r="V151" s="2" t="n"/>
      <c r="W151" s="2" t="n"/>
      <c r="X151" s="2" t="n"/>
      <c r="Y151" s="2" t="n"/>
      <c r="Z151" s="4" t="inlineStr">
        <is>
          <t>não</t>
        </is>
      </c>
      <c r="AA151" s="4" t="inlineStr">
        <is>
          <t>leitura caso a caso</t>
        </is>
      </c>
      <c r="AB151" s="4" t="inlineStr">
        <is>
          <t>Origem, defeito e formulário de campo registram FURTADO; não há equipamento retirado (NS e tombamento retirado = 0), apenas instalação de trafo de 15 kVA. Não há falha de equipamento. Sem conferência na base de interrupção (julho não carregado).</t>
        </is>
      </c>
      <c r="AC151" s="2" t="inlineStr">
        <is>
          <t>trafo retirado 5700692040 10kva 34.5kvacesso caminhonete</t>
        </is>
      </c>
      <c r="AD151" s="2" t="inlineStr">
        <is>
          <t xml:space="preserve">ETO-RD-AR 1136/2026 
TRAFO INSTALADO 
POTÊNCIA : 15 KVA 
TENSÃO :	 34.5 KV 
Nº ENERGISA (CITD) : 151676 
Nº DE SÉRIE : C 308245 
MARCA : ITAM 
DATA FABRICAÇÃO : 04/2026 
IMPEDANCIA : 3,04 
POS. TAP : 05 
</t>
        </is>
      </c>
    </row>
    <row r="152" ht="75" customHeight="1">
      <c r="A152" s="2" t="inlineStr">
        <is>
          <t>ETO-RD-GU 00714/2026</t>
        </is>
      </c>
      <c r="B152" s="2" t="inlineStr">
        <is>
          <t>jul</t>
        </is>
      </c>
      <c r="C152" s="6" t="inlineStr">
        <is>
          <t>Causa externa ao transformador</t>
        </is>
      </c>
      <c r="D152" s="2" t="inlineStr">
        <is>
          <t>Furto</t>
        </is>
      </c>
      <c r="E152" s="2" t="inlineStr">
        <is>
          <t>EXPURGO</t>
        </is>
      </c>
      <c r="F152" s="2" t="inlineStr">
        <is>
          <t>FURTADO</t>
        </is>
      </c>
      <c r="G152" s="2" t="inlineStr">
        <is>
          <t>leitura do texto (jan–ago)</t>
        </is>
      </c>
      <c r="H152" s="2" t="inlineStr">
        <is>
          <t>FURTO</t>
        </is>
      </c>
      <c r="I152" s="2" t="n">
        <v>5710069148</v>
      </c>
      <c r="J152" s="2" t="inlineStr">
        <is>
          <t>DBM-MLDB05  000107/2026</t>
        </is>
      </c>
      <c r="K152" s="2" t="n">
        <v>412600554</v>
      </c>
      <c r="L152" s="2" t="inlineStr">
        <is>
          <t>2026-07-14 16:15</t>
        </is>
      </c>
      <c r="M152" s="2" t="inlineStr">
        <is>
          <t>2026-07-15 15:00</t>
        </is>
      </c>
      <c r="N152" s="2" t="inlineStr">
        <is>
          <t>FORMS SUBST DE TRANSFORMADOR</t>
        </is>
      </c>
      <c r="O152" s="2" t="inlineStr">
        <is>
          <t>ETO-RD-GU</t>
        </is>
      </c>
      <c r="P152" s="2" t="inlineStr">
        <is>
          <t>SAO VALERIO</t>
        </is>
      </c>
      <c r="Q152" s="2" t="inlineStr">
        <is>
          <t>FURTADO</t>
        </is>
      </c>
      <c r="R152" s="2" t="inlineStr">
        <is>
          <t>FURTADO</t>
        </is>
      </c>
      <c r="S152" s="2" t="inlineStr">
        <is>
          <t>70068</t>
        </is>
      </c>
      <c r="T152" s="2" t="n">
        <v>828004</v>
      </c>
      <c r="U152" s="2" t="inlineStr">
        <is>
          <t>sim</t>
        </is>
      </c>
      <c r="V152" s="2" t="n"/>
      <c r="W152" s="2" t="n"/>
      <c r="X152" s="2" t="n"/>
      <c r="Y152" s="2" t="n"/>
      <c r="Z152" s="4" t="inlineStr">
        <is>
          <t>não</t>
        </is>
      </c>
      <c r="AA152" s="4" t="inlineStr">
        <is>
          <t>leitura caso a caso</t>
        </is>
      </c>
      <c r="AB152" s="4" t="inlineStr">
        <is>
          <t>Furto do núcleo do transformador, confirmado pela equipe na SS e pelo formulário de campo. Causa externa, não conta no indicador. Não houve conferência na base de interrupção (julho não carregado).</t>
        </is>
      </c>
      <c r="AC152" s="2" t="inlineStr">
        <is>
          <t>Segue SS de trfao 5710069148 furtado para devidas trativas com equipe de manutenção.Tensão 34,5 kvPotencia 10 kvaAcesso livre Para raio bomOBS: equipe informou que foi furtado todo o nucleo do transformador</t>
        </is>
      </c>
      <c r="AD152" s="2" t="inlineStr">
        <is>
          <t xml:space="preserve">SUBSTITUIÇÃO DE TRANSFORMADOR NA RDR DE SÃO VALERIO 
INT: 20264629600677 
SS: ETO-RD-GU 714/2026 
ESPECIFICAÇÕES DO TRANSFORMADOR 
TRANSFORMADOR INSTALADO: 15 KVA 
TRANSFORMADOR RETIRADO: 10 KVA 
OBS:SUBSTITUIÇÃO DE TRANSFORMADOR AUTORIZADA PELO DIONE. 
</t>
        </is>
      </c>
    </row>
    <row r="153" ht="75" customHeight="1">
      <c r="A153" s="2" t="inlineStr">
        <is>
          <t>ETO-RD-GU 00734/2026</t>
        </is>
      </c>
      <c r="B153" s="2" t="inlineStr">
        <is>
          <t>jul</t>
        </is>
      </c>
      <c r="C153" s="6" t="inlineStr">
        <is>
          <t>Causa externa ao transformador</t>
        </is>
      </c>
      <c r="D153" s="2" t="inlineStr">
        <is>
          <t>Furto</t>
        </is>
      </c>
      <c r="E153" s="2" t="inlineStr">
        <is>
          <t>EXPURGO</t>
        </is>
      </c>
      <c r="F153" s="2" t="inlineStr">
        <is>
          <t>FURTADO</t>
        </is>
      </c>
      <c r="G153" s="2" t="inlineStr">
        <is>
          <t>leitura do texto (jan–ago)</t>
        </is>
      </c>
      <c r="H153" s="2" t="inlineStr">
        <is>
          <t>FURTO</t>
        </is>
      </c>
      <c r="I153" s="2" t="n">
        <v>5719414148</v>
      </c>
      <c r="J153" s="2" t="inlineStr">
        <is>
          <t>DBM-MLDB04  000105/2026</t>
        </is>
      </c>
      <c r="K153" s="2" t="n">
        <v>412600563</v>
      </c>
      <c r="L153" s="2" t="inlineStr">
        <is>
          <t>2026-07-16 17:11</t>
        </is>
      </c>
      <c r="M153" s="2" t="inlineStr">
        <is>
          <t>2026-07-24 08:05</t>
        </is>
      </c>
      <c r="N153" s="2" t="inlineStr">
        <is>
          <t>FORMS SUBST DE TRANSFORMADOR</t>
        </is>
      </c>
      <c r="O153" s="2" t="inlineStr">
        <is>
          <t>ETO-RD-GU</t>
        </is>
      </c>
      <c r="P153" s="2" t="inlineStr">
        <is>
          <t>SAO VALERIO</t>
        </is>
      </c>
      <c r="Q153" s="2" t="inlineStr">
        <is>
          <t>FURTADO</t>
        </is>
      </c>
      <c r="R153" s="2" t="inlineStr">
        <is>
          <t>FURTADO</t>
        </is>
      </c>
      <c r="S153" s="2" t="inlineStr">
        <is>
          <t>183425</t>
        </is>
      </c>
      <c r="T153" s="2" t="n">
        <v>1295264</v>
      </c>
      <c r="U153" s="2" t="inlineStr">
        <is>
          <t>sim</t>
        </is>
      </c>
      <c r="V153" s="2" t="n"/>
      <c r="W153" s="2" t="n"/>
      <c r="X153" s="2" t="n"/>
      <c r="Y153" s="2" t="n"/>
      <c r="Z153" s="4" t="inlineStr">
        <is>
          <t>não</t>
        </is>
      </c>
      <c r="AA153" s="4" t="inlineStr">
        <is>
          <t>leitura caso a caso</t>
        </is>
      </c>
      <c r="AB153" s="4" t="inlineStr">
        <is>
          <t>SS, OS e campo indicam furto do transformador de 30 kVA na RDR de São Valério, com substituição por outro de mesma potência. Não há falha do equipamento. Sem conferência na base de interrupção (julho não carregado).</t>
        </is>
      </c>
      <c r="AC153" s="2" t="inlineStr">
        <is>
          <t>Segue SS de trafo 5719414148 furtado para devidas tratativas com equipe de manutenção.Potencia: 30kvaTensão: 34.5 kvPara raio: queimado acesso livre</t>
        </is>
      </c>
      <c r="AD153" s="2" t="inlineStr">
        <is>
          <t xml:space="preserve">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 
</t>
        </is>
      </c>
    </row>
    <row r="154" ht="60" customHeight="1">
      <c r="A154" s="2" t="inlineStr">
        <is>
          <t>DG-RD-PO 00489/2026</t>
        </is>
      </c>
      <c r="B154" s="2" t="inlineStr">
        <is>
          <t>ago</t>
        </is>
      </c>
      <c r="C154" s="6" t="inlineStr">
        <is>
          <t>Causa externa ao transformador</t>
        </is>
      </c>
      <c r="D154" s="2" t="inlineStr">
        <is>
          <t>Furto</t>
        </is>
      </c>
      <c r="E154" s="2" t="inlineStr">
        <is>
          <t>EXPURGO</t>
        </is>
      </c>
      <c r="F154" s="2" t="inlineStr">
        <is>
          <t>FURTADO</t>
        </is>
      </c>
      <c r="G154" s="2" t="inlineStr">
        <is>
          <t>leitura do texto (jan–ago)</t>
        </is>
      </c>
      <c r="H154" s="2" t="inlineStr">
        <is>
          <t>FURTO</t>
        </is>
      </c>
      <c r="I154" s="2" t="n">
        <v>5700689043</v>
      </c>
      <c r="J154" s="2" t="inlineStr">
        <is>
          <t>DG-MPDG01  000124/2026</t>
        </is>
      </c>
      <c r="K154" s="2" t="n">
        <v>312600387</v>
      </c>
      <c r="L154" s="2" t="inlineStr">
        <is>
          <t>2026-08-05 13:53</t>
        </is>
      </c>
      <c r="M154" s="2" t="inlineStr">
        <is>
          <t>2026-08-06 13:30</t>
        </is>
      </c>
      <c r="N154" s="2" t="inlineStr">
        <is>
          <t>FORMS SUBST DE TRANSFORMADOR</t>
        </is>
      </c>
      <c r="O154" s="2" t="inlineStr">
        <is>
          <t>DG-RD-PO</t>
        </is>
      </c>
      <c r="P154" s="2" t="inlineStr">
        <is>
          <t>SILVANOPOLIS</t>
        </is>
      </c>
      <c r="Q154" s="2" t="inlineStr">
        <is>
          <t>FURTADO</t>
        </is>
      </c>
      <c r="R154" s="2" t="inlineStr">
        <is>
          <t>FURTADO</t>
        </is>
      </c>
      <c r="S154" s="2" t="inlineStr">
        <is>
          <t>373335</t>
        </is>
      </c>
      <c r="T154" s="2" t="n">
        <v>303236</v>
      </c>
      <c r="U154" s="2" t="inlineStr">
        <is>
          <t>sim</t>
        </is>
      </c>
      <c r="V154" s="2" t="inlineStr">
        <is>
          <t>CAUSADA POR TERCEIROS</t>
        </is>
      </c>
      <c r="W154" s="2" t="inlineStr">
        <is>
          <t>ROUBO DE TRANSFORMADOR</t>
        </is>
      </c>
      <c r="X154" s="2" t="inlineStr">
        <is>
          <t>CAUSADA POR TERCEIROS</t>
        </is>
      </c>
      <c r="Y154" s="2" t="inlineStr">
        <is>
          <t>ROUBO DE TRANSFORMADOR</t>
        </is>
      </c>
      <c r="Z154" s="4" t="inlineStr">
        <is>
          <t>não</t>
        </is>
      </c>
      <c r="AA154" s="4" t="inlineStr">
        <is>
          <t>leitura caso a caso</t>
        </is>
      </c>
      <c r="AB154" s="4" t="inlineStr">
        <is>
          <t>Furto confirmado em três fontes: SS, formulário de campo (FURTADO) e Crítica, que casou pelo trafo com causa CAUSADA POR TERCEIROS / ROUBO DE TRANSFORMADOR.</t>
        </is>
      </c>
      <c r="AC154" s="2" t="inlineStr">
        <is>
          <t>INT: 20264736828124Segue SS de TR 5700689043 15KVA/19.9KV furtado, para devidas tratativas com equipe de manutenção.Acessom livreUC 11385931FAZENDA ESTREITO11985666120BASILIO DA SILVA GUIMARAES043OP01 99228-0696</t>
        </is>
      </c>
      <c r="AD154" s="2" t="inlineStr">
        <is>
          <t xml:space="preserve">medido_ 
emergencial_ 
substituição de trafo furtado rdr silvanopolis   
</t>
        </is>
      </c>
    </row>
    <row r="155" ht="75" customHeight="1">
      <c r="A155" s="2" t="inlineStr">
        <is>
          <t>DG-RD-PO 00519/2026</t>
        </is>
      </c>
      <c r="B155" s="2" t="inlineStr">
        <is>
          <t>ago</t>
        </is>
      </c>
      <c r="C155" s="6" t="inlineStr">
        <is>
          <t>Causa externa ao transformador</t>
        </is>
      </c>
      <c r="D155" s="2" t="inlineStr">
        <is>
          <t>Furto</t>
        </is>
      </c>
      <c r="E155" s="2" t="inlineStr">
        <is>
          <t>EXPURGO</t>
        </is>
      </c>
      <c r="F155" s="2" t="inlineStr">
        <is>
          <t>FURTADO</t>
        </is>
      </c>
      <c r="G155" s="2" t="inlineStr">
        <is>
          <t>leitura do texto (jan–ago)</t>
        </is>
      </c>
      <c r="H155" s="2" t="inlineStr">
        <is>
          <t>FURTO</t>
        </is>
      </c>
      <c r="I155" s="2" t="n">
        <v>5701101035</v>
      </c>
      <c r="J155" s="2" t="inlineStr">
        <is>
          <t>DG-MLPO02  000093/2026</t>
        </is>
      </c>
      <c r="K155" s="2" t="n">
        <v>312600402</v>
      </c>
      <c r="L155" s="2" t="inlineStr">
        <is>
          <t>2026-08-23 14:42</t>
        </is>
      </c>
      <c r="M155" s="2" t="inlineStr">
        <is>
          <t>2026-08-24 13:05</t>
        </is>
      </c>
      <c r="N155" s="2" t="inlineStr">
        <is>
          <t>FORMS SUBST DE TRANSFORMADOR</t>
        </is>
      </c>
      <c r="O155" s="2" t="inlineStr">
        <is>
          <t>DG-RD-PO</t>
        </is>
      </c>
      <c r="P155" s="2" t="inlineStr">
        <is>
          <t>MONTE DO CARMO</t>
        </is>
      </c>
      <c r="Q155" s="2" t="n"/>
      <c r="R155" s="2" t="n"/>
      <c r="S155" s="2" t="inlineStr">
        <is>
          <t>170992</t>
        </is>
      </c>
      <c r="T155" s="2" t="n">
        <v>830283</v>
      </c>
      <c r="U155" s="2" t="inlineStr">
        <is>
          <t>sim</t>
        </is>
      </c>
      <c r="V155" s="2" t="inlineStr">
        <is>
          <t>CAUSADA POR TERCEIROS</t>
        </is>
      </c>
      <c r="W155" s="2" t="inlineStr">
        <is>
          <t>ROUBO DE TRANSFORMADOR</t>
        </is>
      </c>
      <c r="X155" s="2" t="n"/>
      <c r="Y155" s="2" t="n"/>
      <c r="Z155" s="4" t="inlineStr">
        <is>
          <t>não</t>
        </is>
      </c>
      <c r="AA155" s="4" t="inlineStr">
        <is>
          <t>leitura caso a caso</t>
        </is>
      </c>
      <c r="AB155" s="4" t="inlineStr">
        <is>
          <t>Trafo de 5 kVA e para-raios furtados; a OS encerra como substituição de trafo furtado e a base confirma com causa CAUSADA POR TERCEIROS e subcausa ROUBO DE TRANSFORMADOR. Não conta no indicador.</t>
        </is>
      </c>
      <c r="AC155" s="2" t="inlineStr">
        <is>
          <t>Constatado trafo 5701101035 de 5kVA na 19.9kV e para-raios furtados. Acesso bom para caminhote. Favor agilizar pois o cliente estar com uma OS 798 de ligação nova para o local com vencimento dia 28/08/2026 23:59</t>
        </is>
      </c>
      <c r="AD155" s="2" t="inlineStr">
        <is>
          <t xml:space="preserve">medido_ 
emergencial_ 
substituição de trafo furtado monte do carmo 
</t>
        </is>
      </c>
    </row>
    <row r="156" ht="90" customHeight="1">
      <c r="A156" s="2" t="inlineStr">
        <is>
          <t>DG-RD-PO 00524/2026</t>
        </is>
      </c>
      <c r="B156" s="2" t="inlineStr">
        <is>
          <t>ago</t>
        </is>
      </c>
      <c r="C156" s="6" t="inlineStr">
        <is>
          <t>Causa externa ao transformador</t>
        </is>
      </c>
      <c r="D156" s="2" t="inlineStr">
        <is>
          <t>Furto</t>
        </is>
      </c>
      <c r="E156" s="2" t="inlineStr">
        <is>
          <t>EXPURGO</t>
        </is>
      </c>
      <c r="F156" s="2" t="inlineStr">
        <is>
          <t>FURTADO</t>
        </is>
      </c>
      <c r="G156" s="2" t="inlineStr">
        <is>
          <t>leitura do texto (jan–ago)</t>
        </is>
      </c>
      <c r="H156" s="2" t="inlineStr">
        <is>
          <t>FURTO</t>
        </is>
      </c>
      <c r="I156" s="2" t="n">
        <v>5701343001</v>
      </c>
      <c r="J156" s="2" t="inlineStr">
        <is>
          <t>DG-MLPO02  000095/2026</t>
        </is>
      </c>
      <c r="K156" s="2" t="n"/>
      <c r="L156" s="2" t="inlineStr">
        <is>
          <t>2026-08-27 11:27</t>
        </is>
      </c>
      <c r="M156" s="2" t="inlineStr">
        <is>
          <t>2026-08-28 16:47</t>
        </is>
      </c>
      <c r="N156" s="2" t="inlineStr">
        <is>
          <t>AVISO DE ANOMALIA</t>
        </is>
      </c>
      <c r="O156" s="2" t="inlineStr">
        <is>
          <t>DG-RD-PO</t>
        </is>
      </c>
      <c r="P156" s="2" t="inlineStr">
        <is>
          <t>PORTO NACIONAL</t>
        </is>
      </c>
      <c r="Q156" s="2" t="inlineStr">
        <is>
          <t>FURTADO</t>
        </is>
      </c>
      <c r="R156" s="2" t="inlineStr">
        <is>
          <t>FURTADO</t>
        </is>
      </c>
      <c r="S156" s="2" t="inlineStr">
        <is>
          <t>1023423</t>
        </is>
      </c>
      <c r="T156" s="2" t="n">
        <v>846107</v>
      </c>
      <c r="U156" s="2" t="inlineStr">
        <is>
          <t>sim</t>
        </is>
      </c>
      <c r="V156" s="2" t="n"/>
      <c r="W156" s="2" t="n"/>
      <c r="X156" s="2" t="n"/>
      <c r="Y156" s="2" t="n"/>
      <c r="Z156" s="4" t="inlineStr">
        <is>
          <t>não</t>
        </is>
      </c>
      <c r="AA156" s="4" t="inlineStr">
        <is>
          <t>leitura caso a caso</t>
        </is>
      </c>
      <c r="AB156" s="4"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c r="AC156" s="2" t="inlineStr">
        <is>
          <t>Segue SS para atendimento com equipe de manutenção , instalar trafo 5701343001  FURTADO na RDR de porto nacional acesso livre , potencia 15 kva para-raio queiamdo , tensão 13,8 monta posta tranformação completa</t>
        </is>
      </c>
      <c r="AD156" s="2" t="inlineStr">
        <is>
          <t xml:space="preserve">medido_ 
emergencial_ 
substituição de trafo furtado rdr porto 
</t>
        </is>
      </c>
    </row>
    <row r="157" ht="105" customHeight="1">
      <c r="A157" s="2" t="inlineStr">
        <is>
          <t>DOLP-RD-PA 00803/2026</t>
        </is>
      </c>
      <c r="B157" s="2" t="inlineStr">
        <is>
          <t>ago</t>
        </is>
      </c>
      <c r="C157" s="6" t="inlineStr">
        <is>
          <t>Causa externa ao transformador</t>
        </is>
      </c>
      <c r="D157" s="2" t="inlineStr">
        <is>
          <t>Furto</t>
        </is>
      </c>
      <c r="E157" s="2" t="inlineStr">
        <is>
          <t>EXPURGO</t>
        </is>
      </c>
      <c r="F157" s="2" t="inlineStr">
        <is>
          <t>FURTADO</t>
        </is>
      </c>
      <c r="G157" s="2" t="inlineStr">
        <is>
          <t>leitura do texto (jan–ago)</t>
        </is>
      </c>
      <c r="H157" s="2" t="inlineStr">
        <is>
          <t>FURTO</t>
        </is>
      </c>
      <c r="I157" s="2" t="n">
        <v>5757258006</v>
      </c>
      <c r="J157" s="2" t="inlineStr">
        <is>
          <t>DLP-MPPA01  000268/2026</t>
        </is>
      </c>
      <c r="K157" s="2" t="n">
        <v>112600739</v>
      </c>
      <c r="L157" s="2" t="inlineStr">
        <is>
          <t>2026-08-06 15:36</t>
        </is>
      </c>
      <c r="M157" s="2" t="inlineStr">
        <is>
          <t>2026-08-07 17:00</t>
        </is>
      </c>
      <c r="N157" s="2" t="inlineStr">
        <is>
          <t>FORMS SUBST DE TRANSFORMADOR</t>
        </is>
      </c>
      <c r="O157" s="2" t="inlineStr">
        <is>
          <t>DOLP-RD-PA</t>
        </is>
      </c>
      <c r="P157" s="2" t="inlineStr">
        <is>
          <t>TOCANTINIA</t>
        </is>
      </c>
      <c r="Q157" s="2" t="n"/>
      <c r="R157" s="2" t="inlineStr">
        <is>
          <t>FURTADO</t>
        </is>
      </c>
      <c r="S157" s="2" t="inlineStr">
        <is>
          <t>00</t>
        </is>
      </c>
      <c r="T157" s="2" t="n">
        <v>0</v>
      </c>
      <c r="U157" s="2" t="inlineStr">
        <is>
          <t>não</t>
        </is>
      </c>
      <c r="V157" s="2" t="n"/>
      <c r="W157" s="2" t="n"/>
      <c r="X157" s="2" t="n"/>
      <c r="Y157" s="2" t="n"/>
      <c r="Z157" s="4" t="inlineStr">
        <is>
          <t>não</t>
        </is>
      </c>
      <c r="AA157" s="4" t="inlineStr">
        <is>
          <t>leitura caso a caso</t>
        </is>
      </c>
      <c r="AB157" s="4"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c r="AC157" s="2" t="inlineStr">
        <is>
          <t>Trafo Furtao 75kva - 34,5kvAcesso bomRua Joaquim Vieira Vila Jaco</t>
        </is>
      </c>
      <c r="AD157" s="2" t="inlineStr">
        <is>
          <t>MEDIDO_ 
1. Baixado para consumo de material 
Trafo Furtao 75kva - 34,5kv 
Acesso bom 
Rua Joaquim Vieira Vila Jaco 
DADOS DO ATENDIMENTO: 
EQUIPE: 833012 - DLP-MPPA02 
ENCARREGADO: JULIO IGNACIO 
DATA: 07/08/2026</t>
        </is>
      </c>
    </row>
    <row r="158" ht="105" customHeight="1">
      <c r="A158" s="2" t="inlineStr">
        <is>
          <t>ETO-RD-AG 00835/2026</t>
        </is>
      </c>
      <c r="B158" s="2" t="inlineStr">
        <is>
          <t>ago</t>
        </is>
      </c>
      <c r="C158" s="6" t="inlineStr">
        <is>
          <t>Causa externa ao transformador</t>
        </is>
      </c>
      <c r="D158" s="2" t="inlineStr">
        <is>
          <t>Furto</t>
        </is>
      </c>
      <c r="E158" s="2" t="inlineStr">
        <is>
          <t>EXPURGO</t>
        </is>
      </c>
      <c r="F158" s="2" t="inlineStr">
        <is>
          <t>FURTADO</t>
        </is>
      </c>
      <c r="G158" s="2" t="inlineStr">
        <is>
          <t>leitura do texto (jan–ago)</t>
        </is>
      </c>
      <c r="H158" s="2" t="inlineStr">
        <is>
          <t>FURTO</t>
        </is>
      </c>
      <c r="I158" s="2" t="n">
        <v>5700600127</v>
      </c>
      <c r="J158" s="2" t="inlineStr">
        <is>
          <t>ENC-MLAG02  000248/2026</t>
        </is>
      </c>
      <c r="K158" s="2" t="n">
        <v>662600512</v>
      </c>
      <c r="L158" s="2" t="inlineStr">
        <is>
          <t>2026-08-12 08:06</t>
        </is>
      </c>
      <c r="M158" s="2" t="inlineStr">
        <is>
          <t>2026-08-12 18:02</t>
        </is>
      </c>
      <c r="N158" s="2" t="inlineStr">
        <is>
          <t>SOLICITAÇÃO DE SERVIÇO</t>
        </is>
      </c>
      <c r="O158" s="2" t="inlineStr">
        <is>
          <t>ETO-RD-AG</t>
        </is>
      </c>
      <c r="P158" s="2" t="inlineStr">
        <is>
          <t>PALMEIRAS DO TOCANTINS</t>
        </is>
      </c>
      <c r="Q158" s="2" t="inlineStr">
        <is>
          <t>FURTADO</t>
        </is>
      </c>
      <c r="R158" s="2" t="inlineStr">
        <is>
          <t>FURTADO</t>
        </is>
      </c>
      <c r="S158" s="2" t="inlineStr">
        <is>
          <t>NA</t>
        </is>
      </c>
      <c r="T158" s="2" t="n">
        <v>836239</v>
      </c>
      <c r="U158" s="2" t="inlineStr">
        <is>
          <t>não</t>
        </is>
      </c>
      <c r="V158" s="2" t="inlineStr">
        <is>
          <t>TRANSFORMADOR</t>
        </is>
      </c>
      <c r="W158" s="2" t="inlineStr">
        <is>
          <t>VAZAMENTO DE OLEO / TANQUE DETERIORADO</t>
        </is>
      </c>
      <c r="X158" s="2" t="n"/>
      <c r="Y158" s="2" t="n"/>
      <c r="Z158" s="4" t="inlineStr">
        <is>
          <t>não</t>
        </is>
      </c>
      <c r="AA158" s="4" t="inlineStr">
        <is>
          <t>leitura caso a caso</t>
        </is>
      </c>
      <c r="AB158" s="4"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c r="AC158" s="2" t="inlineStr">
        <is>
          <t>por favor deslocarequipe da manutenção no trafo 5700600127 de 15 kv 19,5 kva subs trafo furtado 01- para raio acesso bom</t>
        </is>
      </c>
      <c r="AD158" s="2"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159" ht="120" customHeight="1">
      <c r="A159" s="2" t="inlineStr">
        <is>
          <t>ETO-RD-AR 01228/2026</t>
        </is>
      </c>
      <c r="B159" s="2" t="inlineStr">
        <is>
          <t>ago</t>
        </is>
      </c>
      <c r="C159" s="6" t="inlineStr">
        <is>
          <t>Causa externa ao transformador</t>
        </is>
      </c>
      <c r="D159" s="2" t="inlineStr">
        <is>
          <t>Furto</t>
        </is>
      </c>
      <c r="E159" s="2" t="inlineStr">
        <is>
          <t>EXPURGO</t>
        </is>
      </c>
      <c r="F159" s="2" t="inlineStr">
        <is>
          <t>FURTADO</t>
        </is>
      </c>
      <c r="G159" s="2" t="inlineStr">
        <is>
          <t>leitura do texto (jan–ago)</t>
        </is>
      </c>
      <c r="H159" s="2" t="inlineStr">
        <is>
          <t>FURTO</t>
        </is>
      </c>
      <c r="I159" s="2" t="n">
        <v>5701748004</v>
      </c>
      <c r="J159" s="2" t="inlineStr">
        <is>
          <t>ENC-MLAR01  000296/2026</t>
        </is>
      </c>
      <c r="K159" s="2" t="n">
        <v>612600771</v>
      </c>
      <c r="L159" s="2" t="inlineStr">
        <is>
          <t>2026-08-09 13:17</t>
        </is>
      </c>
      <c r="M159" s="2" t="inlineStr">
        <is>
          <t>2026-08-10 16:25</t>
        </is>
      </c>
      <c r="N159" s="2" t="inlineStr">
        <is>
          <t>FORMS SUBST DE TRANSFORMADOR</t>
        </is>
      </c>
      <c r="O159" s="2" t="inlineStr">
        <is>
          <t>ETO-RD-AR</t>
        </is>
      </c>
      <c r="P159" s="2" t="inlineStr">
        <is>
          <t>ARAGUAINA</t>
        </is>
      </c>
      <c r="Q159" s="2" t="inlineStr">
        <is>
          <t>FURTADO</t>
        </is>
      </c>
      <c r="R159" s="2" t="inlineStr">
        <is>
          <t>FURTADO</t>
        </is>
      </c>
      <c r="S159" s="2" t="inlineStr">
        <is>
          <t>0</t>
        </is>
      </c>
      <c r="T159" s="2" t="n"/>
      <c r="U159" s="2" t="inlineStr">
        <is>
          <t>não</t>
        </is>
      </c>
      <c r="V159" s="2" t="n"/>
      <c r="W159" s="2" t="n"/>
      <c r="X159" s="2" t="n"/>
      <c r="Y159" s="2" t="n"/>
      <c r="Z159" s="4" t="inlineStr">
        <is>
          <t>não</t>
        </is>
      </c>
      <c r="AA159" s="4" t="inlineStr">
        <is>
          <t>leitura caso a caso</t>
        </is>
      </c>
      <c r="AB159" s="4"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c r="AC159" s="2" t="inlineStr">
        <is>
          <t>Trafo: 5701748004 Furtado Potencia: 5 KVATensão: 34,5KVPara raio: Furtado Acesso: LivreEquipe: 004op18 (63) 99244-3514/99279-6322Obs:. tem que leva grampo estribo e chave fuzivel completa de 34,5 KV</t>
        </is>
      </c>
      <c r="AD159" s="2" t="inlineStr">
        <is>
          <t xml:space="preserve">ETO-RD-AR 1228/2026 
TR: 5701748004 
TRAFO INSTALADO 
POTÊNCIA : 15KVA 
TENSÃO :	 34,5KV 
Nº ENERGISA (CITD) : 152571  
Nº DE SÉRIE : C306312 
MARCA : ITAM 
DATA FABRICAÇÃO : 07/05/2026 
IMPEDANCIA : 3,18  
POS. TAP : 03 
TRAFO FURTADO </t>
        </is>
      </c>
    </row>
    <row r="160" ht="90" customHeight="1">
      <c r="A160" s="2" t="inlineStr">
        <is>
          <t>ETO-RD-AR 01307/2026</t>
        </is>
      </c>
      <c r="B160" s="2" t="inlineStr">
        <is>
          <t>ago</t>
        </is>
      </c>
      <c r="C160" s="6" t="inlineStr">
        <is>
          <t>Causa externa ao transformador</t>
        </is>
      </c>
      <c r="D160" s="2" t="inlineStr">
        <is>
          <t>Furto</t>
        </is>
      </c>
      <c r="E160" s="2" t="inlineStr">
        <is>
          <t>EXPURGO</t>
        </is>
      </c>
      <c r="F160" s="2" t="inlineStr">
        <is>
          <t>FURTADO</t>
        </is>
      </c>
      <c r="G160" s="2" t="inlineStr">
        <is>
          <t>leitura do texto (jan–ago)</t>
        </is>
      </c>
      <c r="H160" s="2" t="inlineStr">
        <is>
          <t>FURTO</t>
        </is>
      </c>
      <c r="I160" s="2" t="n">
        <v>5757527004</v>
      </c>
      <c r="J160" s="2" t="inlineStr">
        <is>
          <t>ENC-MLAR02  000208/2026</t>
        </is>
      </c>
      <c r="K160" s="2" t="n">
        <v>612600831</v>
      </c>
      <c r="L160" s="2" t="inlineStr">
        <is>
          <t>2026-08-26 07:55</t>
        </is>
      </c>
      <c r="M160" s="2" t="inlineStr">
        <is>
          <t>2026-08-26 11:45</t>
        </is>
      </c>
      <c r="N160" s="2" t="inlineStr">
        <is>
          <t>AVISO DE ANOMALIA</t>
        </is>
      </c>
      <c r="O160" s="2" t="inlineStr">
        <is>
          <t>ETO-RD-AR</t>
        </is>
      </c>
      <c r="P160" s="2" t="inlineStr">
        <is>
          <t>ARAGUAINA</t>
        </is>
      </c>
      <c r="Q160" s="2" t="inlineStr">
        <is>
          <t>FURTADO</t>
        </is>
      </c>
      <c r="R160" s="2" t="inlineStr">
        <is>
          <t>FURTADO</t>
        </is>
      </c>
      <c r="S160" s="2" t="inlineStr">
        <is>
          <t>0</t>
        </is>
      </c>
      <c r="T160" s="2" t="n">
        <v>107461</v>
      </c>
      <c r="U160" s="2" t="inlineStr">
        <is>
          <t>não</t>
        </is>
      </c>
      <c r="V160" s="2" t="n"/>
      <c r="W160" s="2" t="n"/>
      <c r="X160" s="2" t="n"/>
      <c r="Y160" s="2" t="n"/>
      <c r="Z160" s="4" t="inlineStr">
        <is>
          <t>não</t>
        </is>
      </c>
      <c r="AA160" s="4" t="inlineStr">
        <is>
          <t>leitura caso a caso</t>
        </is>
      </c>
      <c r="AB160" s="4" t="inlineStr">
        <is>
          <t>Instalação de transformador em posto furtado (retirado 0, motivo FURTADO no campo, observação da OS 'INSTALAÇÃO DE TRAFO FURTADO'). Ausente da crítica — falta de registro, mas a causa está clara no texto e não é falha de equipamento.</t>
        </is>
      </c>
      <c r="AC160" s="2" t="inlineStr">
        <is>
          <t>Realizar instalação de trafo furtado 5757527004</t>
        </is>
      </c>
      <c r="AD160" s="2" t="inlineStr">
        <is>
          <t xml:space="preserve">ETO-RD-AR 1307/2026 
TR: 5757527004 
TRAFO INSTALADO 
POTÊNCIA : 15KVA  
TENSÃO :	 13,8KV  
Nº ENERGISA (CITD) : 135521 
Nº DE SÉRIE : 107461 
MARCA : TRAEL  
DATA FABRICAÇÃO : 03/2007 
IMPEDANCIA : 2,60 
POS. TAP : 03 
OBS: INSTALAÇÃO DE TRAFO FURTADO </t>
        </is>
      </c>
    </row>
    <row r="161" ht="90" customHeight="1">
      <c r="A161" s="2" t="inlineStr">
        <is>
          <t>ETO-RD-GU 00790/2026</t>
        </is>
      </c>
      <c r="B161" s="2" t="inlineStr">
        <is>
          <t>ago</t>
        </is>
      </c>
      <c r="C161" s="6" t="inlineStr">
        <is>
          <t>Causa externa ao transformador</t>
        </is>
      </c>
      <c r="D161" s="2" t="inlineStr">
        <is>
          <t>Furto</t>
        </is>
      </c>
      <c r="E161" s="2" t="inlineStr">
        <is>
          <t>EXPURGO</t>
        </is>
      </c>
      <c r="F161" s="2" t="inlineStr">
        <is>
          <t>FURTADO</t>
        </is>
      </c>
      <c r="G161" s="2" t="inlineStr">
        <is>
          <t>leitura do texto (jan–ago)</t>
        </is>
      </c>
      <c r="H161" s="2" t="inlineStr">
        <is>
          <t>FURTO</t>
        </is>
      </c>
      <c r="I161" s="2" t="n">
        <v>5710471003</v>
      </c>
      <c r="J161" s="2" t="inlineStr">
        <is>
          <t>DBM-MLDB05  000108/2026</t>
        </is>
      </c>
      <c r="K161" s="2" t="n">
        <v>412600585</v>
      </c>
      <c r="L161" s="2" t="inlineStr">
        <is>
          <t>2026-08-06 10:17</t>
        </is>
      </c>
      <c r="M161" s="2" t="inlineStr">
        <is>
          <t>2026-08-10 17:34</t>
        </is>
      </c>
      <c r="N161" s="2" t="inlineStr">
        <is>
          <t>FORMS SUBST DE TRANSFORMADOR</t>
        </is>
      </c>
      <c r="O161" s="2" t="inlineStr">
        <is>
          <t>ETO-RD-GU</t>
        </is>
      </c>
      <c r="P161" s="2" t="inlineStr">
        <is>
          <t>GURUPI</t>
        </is>
      </c>
      <c r="Q161" s="2" t="inlineStr">
        <is>
          <t>FURTADO</t>
        </is>
      </c>
      <c r="R161" s="2" t="inlineStr">
        <is>
          <t>FURTADO</t>
        </is>
      </c>
      <c r="S161" s="2" t="inlineStr">
        <is>
          <t>12968</t>
        </is>
      </c>
      <c r="T161" s="2" t="n"/>
      <c r="U161" s="2" t="inlineStr">
        <is>
          <t>não</t>
        </is>
      </c>
      <c r="V161" s="2" t="n"/>
      <c r="W161" s="2" t="n"/>
      <c r="X161" s="2" t="n"/>
      <c r="Y161" s="2" t="n"/>
      <c r="Z161" s="4" t="inlineStr">
        <is>
          <t>não</t>
        </is>
      </c>
      <c r="AA161" s="4" t="inlineStr">
        <is>
          <t>leitura caso a caso</t>
        </is>
      </c>
      <c r="AB161" s="4"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c r="AC161" s="2" t="inlineStr">
        <is>
          <t>Segue nota para substuiçao de Trafo 5710471003 o mesmo furtado em campo acesso livre tensao 19,9 kv Potencia 15kva as fotos foram enviadas para supervisor de campo</t>
        </is>
      </c>
      <c r="AD161" s="2" t="inlineStr">
        <is>
          <t xml:space="preserve">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 </t>
        </is>
      </c>
    </row>
    <row r="162" ht="45" customHeight="1">
      <c r="A162" s="2" t="inlineStr">
        <is>
          <t>ETO-RD-DP 00093/2026</t>
        </is>
      </c>
      <c r="B162" s="2" t="inlineStr">
        <is>
          <t>fev</t>
        </is>
      </c>
      <c r="C162" s="6" t="inlineStr">
        <is>
          <t>Causa externa ao transformador</t>
        </is>
      </c>
      <c r="D162" s="2" t="inlineStr">
        <is>
          <t>Trafo auxiliar</t>
        </is>
      </c>
      <c r="E162" s="2" t="inlineStr">
        <is>
          <t>EXPURGO</t>
        </is>
      </c>
      <c r="F162" s="2" t="inlineStr">
        <is>
          <t>TRAFO AUXILIAR</t>
        </is>
      </c>
      <c r="G162" s="2" t="inlineStr">
        <is>
          <t>esteira 1.582</t>
        </is>
      </c>
      <c r="H162" s="2" t="inlineStr">
        <is>
          <t>AUXILIAR DE RELIGADOR</t>
        </is>
      </c>
      <c r="I162" s="2" t="n">
        <v>5764816091</v>
      </c>
      <c r="J162" s="2" t="inlineStr">
        <is>
          <t>ETO-MLDP02  000028/2026</t>
        </is>
      </c>
      <c r="K162" s="2" t="n">
        <v>512600061</v>
      </c>
      <c r="L162" s="2" t="inlineStr">
        <is>
          <t>2026-02-04 07:27</t>
        </is>
      </c>
      <c r="M162" s="2" t="inlineStr">
        <is>
          <t>2026-02-04 11:29</t>
        </is>
      </c>
      <c r="N162" s="2" t="inlineStr">
        <is>
          <t>FORMS SUBST DE TRANSFORMADOR</t>
        </is>
      </c>
      <c r="O162" s="2" t="inlineStr">
        <is>
          <t>ETO-RD-DP</t>
        </is>
      </c>
      <c r="P162" s="2" t="inlineStr">
        <is>
          <t>ALMAS</t>
        </is>
      </c>
      <c r="Q162" s="2" t="inlineStr">
        <is>
          <t>QUEIMADO</t>
        </is>
      </c>
      <c r="R162" s="2" t="n"/>
      <c r="S162" s="2" t="inlineStr">
        <is>
          <t>458600</t>
        </is>
      </c>
      <c r="T162" s="2" t="n">
        <v>820167</v>
      </c>
      <c r="U162" s="2" t="inlineStr">
        <is>
          <t>sim</t>
        </is>
      </c>
      <c r="V162" s="2" t="n"/>
      <c r="W162" s="2" t="n"/>
      <c r="X162" s="2" t="n"/>
      <c r="Y162" s="2" t="n"/>
      <c r="Z162" s="4" t="inlineStr">
        <is>
          <t>não</t>
        </is>
      </c>
      <c r="AA162" s="4" t="inlineStr">
        <is>
          <t>leitura caso a caso</t>
        </is>
      </c>
      <c r="AB162" s="4" t="inlineStr">
        <is>
          <t>Fora do indicador: é transformador auxiliar de religador ou regulador, não unidade de distribuição.</t>
        </is>
      </c>
      <c r="AC162" s="2" t="inlineStr">
        <is>
          <t>Segundo informações da equipe de campo, o trafo AUXILIAR DO RELIGADOR  5764816091 de 15kVA na tensão 19.9kV e para raio estão queimados.</t>
        </is>
      </c>
      <c r="AD162" s="2" t="inlineStr">
        <is>
          <t>Segundo informações da equipe de campo, o trafo AUXILIAR DO RELIGADOR  5764816091 de 15kVA na tensão 19.9kV e para raio estão queimados.</t>
        </is>
      </c>
    </row>
    <row r="163" ht="45" customHeight="1">
      <c r="A163" s="2" t="inlineStr">
        <is>
          <t>DOLP-RD-PA 00429/2026</t>
        </is>
      </c>
      <c r="B163" s="2" t="inlineStr">
        <is>
          <t>abr</t>
        </is>
      </c>
      <c r="C163" s="7" t="inlineStr">
        <is>
          <t>Troca sem falha</t>
        </is>
      </c>
      <c r="D163" s="2" t="inlineStr">
        <is>
          <t>Divisão de circuito</t>
        </is>
      </c>
      <c r="E163" s="2" t="inlineStr">
        <is>
          <t>EXPURGO</t>
        </is>
      </c>
      <c r="F163" s="2" t="inlineStr">
        <is>
          <t>AVARIADO</t>
        </is>
      </c>
      <c r="G163" s="2" t="inlineStr">
        <is>
          <t>esteira 1.582</t>
        </is>
      </c>
      <c r="H163" s="2" t="inlineStr">
        <is>
          <t>DIVISÃO DE CIRCUITO</t>
        </is>
      </c>
      <c r="I163" s="2" t="n">
        <v>5700354122</v>
      </c>
      <c r="J163" s="2" t="inlineStr">
        <is>
          <t>DLP-CTPA00  000064/2026</t>
        </is>
      </c>
      <c r="K163" s="2" t="n">
        <v>112600384</v>
      </c>
      <c r="L163" s="2" t="inlineStr">
        <is>
          <t>2026-04-08 14:47</t>
        </is>
      </c>
      <c r="M163" s="2" t="inlineStr">
        <is>
          <t>2026-04-08 18:00</t>
        </is>
      </c>
      <c r="N163" s="2" t="inlineStr">
        <is>
          <t>FORMS SUBST DE TRANSFORMADOR</t>
        </is>
      </c>
      <c r="O163" s="2" t="inlineStr">
        <is>
          <t>DOLP-RD-PA</t>
        </is>
      </c>
      <c r="P163" s="2" t="inlineStr">
        <is>
          <t>PALMAS</t>
        </is>
      </c>
      <c r="Q163" s="2" t="inlineStr">
        <is>
          <t>AVARIADO</t>
        </is>
      </c>
      <c r="R163" s="2" t="inlineStr">
        <is>
          <t>VAZAMENTO DE ÓLEO</t>
        </is>
      </c>
      <c r="S163" s="2" t="inlineStr">
        <is>
          <t>0</t>
        </is>
      </c>
      <c r="T163" s="2" t="n">
        <v>0</v>
      </c>
      <c r="U163" s="2" t="inlineStr">
        <is>
          <t>não</t>
        </is>
      </c>
      <c r="V163" s="2" t="n"/>
      <c r="W163" s="2" t="n"/>
      <c r="X163" s="2" t="n"/>
      <c r="Y163" s="2" t="n"/>
      <c r="Z163" s="4" t="inlineStr">
        <is>
          <t>SIM</t>
        </is>
      </c>
      <c r="AA163" s="4" t="inlineStr">
        <is>
          <t>leitura caso a caso</t>
        </is>
      </c>
      <c r="AB163" s="4" t="inlineStr">
        <is>
          <t>Fora do indicador: o texto declara divisão de circuito — é obra de capacidade, entra como preventivo.</t>
        </is>
      </c>
      <c r="AC163" s="2" t="inlineStr">
        <is>
          <t>Transformador com vazamento de oleo grande proporção 5764409122 feito divisão de circuito recente com 5700354122, potencia 112kva, tensão 13.8, acesso livre a caminhao, para raio bom.</t>
        </is>
      </c>
      <c r="AD163" s="2"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164" ht="45" customHeight="1">
      <c r="A164" s="2" t="inlineStr">
        <is>
          <t>ETO-RD-AR 00951/2026</t>
        </is>
      </c>
      <c r="B164" s="2" t="inlineStr">
        <is>
          <t>jun</t>
        </is>
      </c>
      <c r="C164" s="7" t="inlineStr">
        <is>
          <t>Troca sem falha</t>
        </is>
      </c>
      <c r="D164" s="2" t="inlineStr">
        <is>
          <t>Divisão de circuito</t>
        </is>
      </c>
      <c r="E164" s="2" t="inlineStr">
        <is>
          <t>EXPURGO</t>
        </is>
      </c>
      <c r="F164" s="2" t="inlineStr">
        <is>
          <t>SOBRECARGA</t>
        </is>
      </c>
      <c r="G164" s="2" t="inlineStr">
        <is>
          <t>esteira 1.582</t>
        </is>
      </c>
      <c r="H164" s="2" t="inlineStr">
        <is>
          <t>DIVISÃO DE CIRCUITO</t>
        </is>
      </c>
      <c r="I164" s="2" t="n">
        <v>5700623004</v>
      </c>
      <c r="J164" s="2" t="inlineStr">
        <is>
          <t>ENC-MLAR01  000235/2026</t>
        </is>
      </c>
      <c r="K164" s="2" t="n">
        <v>612600596</v>
      </c>
      <c r="L164" s="2" t="inlineStr">
        <is>
          <t>2026-06-08 07:42</t>
        </is>
      </c>
      <c r="M164" s="2" t="inlineStr">
        <is>
          <t>2026-06-08 17:55</t>
        </is>
      </c>
      <c r="N164" s="2" t="inlineStr">
        <is>
          <t>AVISO DE ANOMALIA</t>
        </is>
      </c>
      <c r="O164" s="2" t="inlineStr">
        <is>
          <t>ETO-RD-AR</t>
        </is>
      </c>
      <c r="P164" s="2" t="inlineStr">
        <is>
          <t>ARAGUAINA</t>
        </is>
      </c>
      <c r="Q164" s="2" t="inlineStr">
        <is>
          <t>SOBRECARGA PREVENTIVA</t>
        </is>
      </c>
      <c r="R164" s="2" t="n"/>
      <c r="S164" s="2" t="inlineStr">
        <is>
          <t>S/N</t>
        </is>
      </c>
      <c r="T164" s="2" t="n">
        <v>1667706</v>
      </c>
      <c r="U164" s="2" t="inlineStr">
        <is>
          <t>sim</t>
        </is>
      </c>
      <c r="V164" s="2" t="n"/>
      <c r="W164" s="2" t="n"/>
      <c r="X164" s="2" t="inlineStr">
        <is>
          <t>CAUSA NAO IDENTIFICADA</t>
        </is>
      </c>
      <c r="Y164" s="2" t="inlineStr">
        <is>
          <t>CAUSA NAO IDENTIFICADA - ESPECIFICAR</t>
        </is>
      </c>
      <c r="Z164" s="4" t="inlineStr">
        <is>
          <t>não</t>
        </is>
      </c>
      <c r="AA164" s="4" t="inlineStr">
        <is>
          <t>leitura caso a caso</t>
        </is>
      </c>
      <c r="AB164" s="4" t="inlineStr">
        <is>
          <t>Fora do indicador: o texto declara divisão de circuito — é obra de capacidade, entra como preventivo.</t>
        </is>
      </c>
      <c r="AC164" s="2" t="inlineStr">
        <is>
          <t>Divisão de circuito emergencial 5700623004 138% de carregamento</t>
        </is>
      </c>
      <c r="AD164" s="2" t="inlineStr">
        <is>
          <t xml:space="preserve">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 
</t>
        </is>
      </c>
    </row>
    <row r="165" ht="75" customHeight="1">
      <c r="A165" s="2" t="inlineStr">
        <is>
          <t>ETO-RD-GR 00720/2026</t>
        </is>
      </c>
      <c r="B165" s="2" t="inlineStr">
        <is>
          <t>jul</t>
        </is>
      </c>
      <c r="C165" s="7" t="inlineStr">
        <is>
          <t>Troca sem falha</t>
        </is>
      </c>
      <c r="D165" s="2" t="inlineStr">
        <is>
          <t>Divisão de circuito</t>
        </is>
      </c>
      <c r="E165" s="2" t="inlineStr">
        <is>
          <t>EXPURGO</t>
        </is>
      </c>
      <c r="F165" s="2" t="inlineStr">
        <is>
          <t>SEM TEXTO</t>
        </is>
      </c>
      <c r="G165" s="2" t="inlineStr">
        <is>
          <t>leitura do texto (jan–ago)</t>
        </is>
      </c>
      <c r="H165" s="2" t="inlineStr">
        <is>
          <t>DIVISÃO DE CIRCUITO</t>
        </is>
      </c>
      <c r="I165" s="2" t="n">
        <v>5720015066</v>
      </c>
      <c r="J165" s="2" t="inlineStr">
        <is>
          <t>ENC-MPGR01  000147/2026</t>
        </is>
      </c>
      <c r="K165" s="2" t="n">
        <v>712600460</v>
      </c>
      <c r="L165" s="2" t="inlineStr">
        <is>
          <t>2026-07-14 11:19</t>
        </is>
      </c>
      <c r="M165" s="2" t="inlineStr">
        <is>
          <t>2026-07-14 17:30</t>
        </is>
      </c>
      <c r="N165" s="2" t="inlineStr">
        <is>
          <t>AVISO DE ANOMALIA</t>
        </is>
      </c>
      <c r="O165" s="2" t="inlineStr">
        <is>
          <t>ETO-RD-GR</t>
        </is>
      </c>
      <c r="P165" s="2" t="inlineStr">
        <is>
          <t>TUPIRATINS</t>
        </is>
      </c>
      <c r="Q165" s="2" t="n"/>
      <c r="R165" s="2" t="n"/>
      <c r="S165" s="2" t="inlineStr">
        <is>
          <t>0</t>
        </is>
      </c>
      <c r="T165" s="2" t="n"/>
      <c r="U165" s="2" t="inlineStr">
        <is>
          <t>não</t>
        </is>
      </c>
      <c r="V165" s="2" t="n"/>
      <c r="W165" s="2" t="n"/>
      <c r="X165" s="2" t="n"/>
      <c r="Y165" s="2" t="n"/>
      <c r="Z165" s="4" t="inlineStr">
        <is>
          <t>não</t>
        </is>
      </c>
      <c r="AA165" s="4" t="inlineStr">
        <is>
          <t>leitura caso a caso</t>
        </is>
      </c>
      <c r="AB165" s="4" t="inlineStr">
        <is>
          <t>Instalação de posto de transformação novo em divisão de circuito: não houve equipamento retirado (NS e tombamento retirado = 0), apenas trafo de 25 kVA instalado. Não há falha de equipamento.</t>
        </is>
      </c>
      <c r="AC165" s="2" t="inlineStr">
        <is>
          <t>Divisão de circuito emergencial do trafo 5720015066</t>
        </is>
      </c>
      <c r="AD165" s="2" t="inlineStr">
        <is>
          <t xml:space="preserve">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 
</t>
        </is>
      </c>
    </row>
    <row r="166" ht="90" customHeight="1">
      <c r="A166" s="2" t="inlineStr">
        <is>
          <t>ETO-RD-AR 01211/2026</t>
        </is>
      </c>
      <c r="B166" s="2" t="inlineStr">
        <is>
          <t>ago</t>
        </is>
      </c>
      <c r="C166" s="7" t="inlineStr">
        <is>
          <t>Troca sem falha</t>
        </is>
      </c>
      <c r="D166" s="2" t="inlineStr">
        <is>
          <t>Divisão de circuito</t>
        </is>
      </c>
      <c r="E166" s="2" t="inlineStr">
        <is>
          <t>EXPURGO</t>
        </is>
      </c>
      <c r="F166" s="2" t="inlineStr">
        <is>
          <t>PREVENTIVO</t>
        </is>
      </c>
      <c r="G166" s="2" t="inlineStr">
        <is>
          <t>leitura do texto (jan–ago)</t>
        </is>
      </c>
      <c r="H166" s="2" t="inlineStr">
        <is>
          <t>DIVISÃO DE CIRCUITO</t>
        </is>
      </c>
      <c r="I166" s="2" t="n">
        <v>5704168004</v>
      </c>
      <c r="J166" s="2" t="inlineStr">
        <is>
          <t>ENC-MPAR01  000066/2026</t>
        </is>
      </c>
      <c r="K166" s="2" t="n">
        <v>612600766</v>
      </c>
      <c r="L166" s="2" t="inlineStr">
        <is>
          <t>2026-08-05 16:32</t>
        </is>
      </c>
      <c r="M166" s="2" t="inlineStr">
        <is>
          <t>2026-08-06 11:57</t>
        </is>
      </c>
      <c r="N166" s="2" t="inlineStr">
        <is>
          <t>AVISO DE ANOMALIA</t>
        </is>
      </c>
      <c r="O166" s="2" t="inlineStr">
        <is>
          <t>ETO-RD-AR</t>
        </is>
      </c>
      <c r="P166" s="2" t="inlineStr">
        <is>
          <t>ARAGUAINA</t>
        </is>
      </c>
      <c r="Q166" s="2" t="inlineStr">
        <is>
          <t>SOBRECARGA PREVENTIVA</t>
        </is>
      </c>
      <c r="R166" s="2" t="n"/>
      <c r="S166" s="2" t="inlineStr">
        <is>
          <t>0</t>
        </is>
      </c>
      <c r="T166" s="2" t="n">
        <v>362814</v>
      </c>
      <c r="U166" s="2" t="inlineStr">
        <is>
          <t>não</t>
        </is>
      </c>
      <c r="V166" s="2" t="n"/>
      <c r="W166" s="2" t="n"/>
      <c r="X166" s="2" t="n"/>
      <c r="Y166" s="2" t="n"/>
      <c r="Z166" s="4" t="inlineStr">
        <is>
          <t>não</t>
        </is>
      </c>
      <c r="AA166" s="4" t="inlineStr">
        <is>
          <t>leitura caso a caso</t>
        </is>
      </c>
      <c r="AB166" s="4"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c r="AC166" s="2" t="inlineStr">
        <is>
          <t>INSTALAÇÃO DE TRAFO DE 75 PARA DIVISÃO DE CIRCUITO</t>
        </is>
      </c>
      <c r="AD166" s="2" t="inlineStr">
        <is>
          <t xml:space="preserve">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 
</t>
        </is>
      </c>
    </row>
    <row r="167" ht="195" customHeight="1">
      <c r="A167" s="2" t="inlineStr">
        <is>
          <t>ETO-RD-GU 00853/2026</t>
        </is>
      </c>
      <c r="B167" s="2" t="inlineStr">
        <is>
          <t>ago</t>
        </is>
      </c>
      <c r="C167" s="7" t="inlineStr">
        <is>
          <t>Troca sem falha</t>
        </is>
      </c>
      <c r="D167" s="2" t="inlineStr">
        <is>
          <t>Melhoria de posto</t>
        </is>
      </c>
      <c r="E167" s="2" t="inlineStr">
        <is>
          <t>EXPURGO</t>
        </is>
      </c>
      <c r="F167" s="2" t="inlineStr">
        <is>
          <t>QUEIMADO</t>
        </is>
      </c>
      <c r="G167" s="2" t="inlineStr">
        <is>
          <t>leitura do texto (jan–ago)</t>
        </is>
      </c>
      <c r="H167" s="2" t="inlineStr">
        <is>
          <t>MELHORIA DE POSTO</t>
        </is>
      </c>
      <c r="I167" s="2" t="n">
        <v>5700020047</v>
      </c>
      <c r="J167" s="2" t="inlineStr">
        <is>
          <t>DBM-MLDB04  000125/2026</t>
        </is>
      </c>
      <c r="K167" s="2" t="n">
        <v>412600633</v>
      </c>
      <c r="L167" s="2" t="inlineStr">
        <is>
          <t>2026-08-31 12:44</t>
        </is>
      </c>
      <c r="M167" s="2" t="inlineStr">
        <is>
          <t>2026-09-02 09:36</t>
        </is>
      </c>
      <c r="N167" s="2" t="inlineStr">
        <is>
          <t>FORMS SUBST DE TRANSFORMADOR</t>
        </is>
      </c>
      <c r="O167" s="2" t="inlineStr">
        <is>
          <t>ETO-RD-GU</t>
        </is>
      </c>
      <c r="P167" s="2" t="inlineStr">
        <is>
          <t>FIGUEIROPOLIS</t>
        </is>
      </c>
      <c r="Q167" s="2" t="inlineStr">
        <is>
          <t>QUEIMADO</t>
        </is>
      </c>
      <c r="R167" s="2" t="inlineStr">
        <is>
          <t>NÃO IDENTIFICADO</t>
        </is>
      </c>
      <c r="S167" s="2" t="inlineStr">
        <is>
          <t>9685850</t>
        </is>
      </c>
      <c r="T167" s="2" t="n">
        <v>1697622</v>
      </c>
      <c r="U167" s="2" t="inlineStr">
        <is>
          <t>sim</t>
        </is>
      </c>
      <c r="V167" s="2" t="inlineStr">
        <is>
          <t>DESLIGAMENTO SEM PROGRAMACAO PREVIA</t>
        </is>
      </c>
      <c r="W167" s="2" t="inlineStr">
        <is>
          <t>RD DE AT</t>
        </is>
      </c>
      <c r="X167" s="2" t="inlineStr">
        <is>
          <t>TRANSFORMADOR</t>
        </is>
      </c>
      <c r="Y167" s="2" t="inlineStr">
        <is>
          <t>SOBRECARGA</t>
        </is>
      </c>
      <c r="Z167" s="4" t="inlineStr">
        <is>
          <t>SIM</t>
        </is>
      </c>
      <c r="AA167" s="4" t="inlineStr">
        <is>
          <t>leitura caso a caso</t>
        </is>
      </c>
      <c r="AB167" s="4"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c r="AC167" s="2" t="inlineStr">
        <is>
          <t>Segue nota para substuiçao de trafo queimado 5700020047 Acesso livre trafo de 112,5 kv tensao 13,8 kv</t>
        </is>
      </c>
      <c r="AD167" s="2" t="inlineStr">
        <is>
          <t xml:space="preserve">SUBSTITUIÇÃO DE TRANSFORMADOR NA RDR DE ARAGUAÇU 
INT: 20264857632228 
SS: ETO-RD-GU 853/2026 
ESPECIFICAÇÕES DO TRANSFORMADOR 
TRANSFORMADOR INSTALADO:  150 KVA 
TRANSFORMADOR RETIRADO: 112,5 KVA 
OBS:SUBSTITUIÇÃO DE TRANSFORMADOR AUTORIZADA PELO DIONE. 
</t>
        </is>
      </c>
    </row>
    <row r="168" ht="150" customHeight="1">
      <c r="A168" s="2" t="inlineStr">
        <is>
          <t>ENC-RD-PS 00095/2026</t>
        </is>
      </c>
      <c r="B168" s="2" t="inlineStr">
        <is>
          <t>jan</t>
        </is>
      </c>
      <c r="C168" s="7" t="inlineStr">
        <is>
          <t>Troca sem falha</t>
        </is>
      </c>
      <c r="D168" s="2" t="inlineStr">
        <is>
          <t>Preventivo</t>
        </is>
      </c>
      <c r="E168" s="2" t="inlineStr">
        <is>
          <t>EXPURGO</t>
        </is>
      </c>
      <c r="F168" s="2" t="inlineStr">
        <is>
          <t>QUEIMADO</t>
        </is>
      </c>
      <c r="G168" s="2" t="inlineStr">
        <is>
          <t>esteira 1.582</t>
        </is>
      </c>
      <c r="H168" s="2" t="inlineStr">
        <is>
          <t>PREVENTIVO/PROGRAMADO</t>
        </is>
      </c>
      <c r="I168" s="2" t="n">
        <v>5710080031</v>
      </c>
      <c r="J168" s="2" t="inlineStr">
        <is>
          <t>ENC-MLGR02  000016/2026</t>
        </is>
      </c>
      <c r="K168" s="2" t="n">
        <v>212600097</v>
      </c>
      <c r="L168" s="2" t="inlineStr">
        <is>
          <t>2026-01-18 09:35</t>
        </is>
      </c>
      <c r="M168" s="2" t="inlineStr">
        <is>
          <t>2026-01-19 14:50</t>
        </is>
      </c>
      <c r="N168" s="2" t="inlineStr">
        <is>
          <t>FORMS SUBST DE TRANSFORMADOR</t>
        </is>
      </c>
      <c r="O168" s="2" t="inlineStr">
        <is>
          <t>ENC-RD-PS</t>
        </is>
      </c>
      <c r="P168" s="2" t="inlineStr">
        <is>
          <t>RIO DOS BOIS</t>
        </is>
      </c>
      <c r="Q168" s="2" t="inlineStr">
        <is>
          <t>QUEIMADO</t>
        </is>
      </c>
      <c r="R168" s="2" t="inlineStr">
        <is>
          <t>DESCARGA ATMOSFÉRICA</t>
        </is>
      </c>
      <c r="S168" s="2" t="inlineStr">
        <is>
          <t>078071</t>
        </is>
      </c>
      <c r="T168" s="2" t="n">
        <v>820248</v>
      </c>
      <c r="U168" s="2" t="inlineStr">
        <is>
          <t>sim</t>
        </is>
      </c>
      <c r="V168" s="2" t="inlineStr">
        <is>
          <t>TRANSFORMADOR</t>
        </is>
      </c>
      <c r="W168" s="2" t="inlineStr">
        <is>
          <t>QUEIMADO POR DESCARGA ATMOSFERICA</t>
        </is>
      </c>
      <c r="X168" s="2" t="inlineStr">
        <is>
          <t>TRANSFORMADOR</t>
        </is>
      </c>
      <c r="Y168" s="2" t="inlineStr">
        <is>
          <t>QUEIMADO POR DESCARGA ATMOSFERICA</t>
        </is>
      </c>
      <c r="Z168" s="4" t="inlineStr">
        <is>
          <t>SIM</t>
        </is>
      </c>
      <c r="AA168" s="4" t="inlineStr">
        <is>
          <t>leitura caso a caso</t>
        </is>
      </c>
      <c r="AB168"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68" s="2" t="inlineStr">
        <is>
          <t>TR 5710080031 TR DE 15 KVA ACESSO LIVRE PARA RAIO BOMREDE : 34,5 KVUC: 8/767068-0AILTON LOPES LOURENCO</t>
        </is>
      </c>
      <c r="AD168" s="2" t="inlineStr">
        <is>
          <t xml:space="preserve">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 
</t>
        </is>
      </c>
    </row>
    <row r="169" ht="30" customHeight="1">
      <c r="A169" s="2" t="inlineStr">
        <is>
          <t>ETO-RD-AG 00009/2026</t>
        </is>
      </c>
      <c r="B169" s="2" t="inlineStr">
        <is>
          <t>jan</t>
        </is>
      </c>
      <c r="C169" s="7" t="inlineStr">
        <is>
          <t>Troca sem falha</t>
        </is>
      </c>
      <c r="D169" s="2" t="inlineStr">
        <is>
          <t>Preventivo</t>
        </is>
      </c>
      <c r="E169" s="2" t="inlineStr">
        <is>
          <t>EXPURGO</t>
        </is>
      </c>
      <c r="F169" s="2" t="inlineStr">
        <is>
          <t>PREVENTIVO</t>
        </is>
      </c>
      <c r="G169" s="2" t="inlineStr">
        <is>
          <t>esteira 1.582</t>
        </is>
      </c>
      <c r="H169" s="2" t="inlineStr">
        <is>
          <t>PREVENTIVO/PROGRAMADO</t>
        </is>
      </c>
      <c r="I169" s="2" t="n">
        <v>5700328119</v>
      </c>
      <c r="J169" s="2" t="inlineStr">
        <is>
          <t>ENC-MPAG02  000003/2026</t>
        </is>
      </c>
      <c r="K169" s="2" t="n">
        <v>662600030</v>
      </c>
      <c r="L169" s="2" t="inlineStr">
        <is>
          <t>2026-01-05 17:28</t>
        </is>
      </c>
      <c r="M169" s="2" t="inlineStr">
        <is>
          <t>2026-01-06 16:35</t>
        </is>
      </c>
      <c r="N169" s="2" t="inlineStr">
        <is>
          <t>AVISO DE ANOMALIA</t>
        </is>
      </c>
      <c r="O169" s="2" t="inlineStr">
        <is>
          <t>ETO-RD-AG</t>
        </is>
      </c>
      <c r="P169" s="2" t="inlineStr">
        <is>
          <t>SAO BENTO DO TOCANTINS</t>
        </is>
      </c>
      <c r="Q169" s="2" t="inlineStr">
        <is>
          <t>AVARIADO</t>
        </is>
      </c>
      <c r="R169" s="2" t="inlineStr">
        <is>
          <t>SOBRECARGA</t>
        </is>
      </c>
      <c r="S169" s="2" t="inlineStr">
        <is>
          <t>128834</t>
        </is>
      </c>
      <c r="T169" s="2" t="n">
        <v>289657</v>
      </c>
      <c r="U169" s="2" t="inlineStr">
        <is>
          <t>sim</t>
        </is>
      </c>
      <c r="V169" s="2" t="n"/>
      <c r="W169" s="2" t="n"/>
      <c r="X169" s="2" t="n"/>
      <c r="Y169" s="2" t="n"/>
      <c r="Z169" s="4" t="inlineStr">
        <is>
          <t>não</t>
        </is>
      </c>
      <c r="AA169" s="4" t="inlineStr">
        <is>
          <t>leitura caso a caso</t>
        </is>
      </c>
      <c r="AB169" s="4" t="inlineStr">
        <is>
          <t>Fora do indicador: a SS está gravada no sistema como preventivo.</t>
        </is>
      </c>
      <c r="AC169" s="2" t="inlineStr">
        <is>
          <t>Enviarequipe da manutenção para substiyuir trafo de 5 kva por um de 15 kva , na 13,8 kv Acesso bom</t>
        </is>
      </c>
      <c r="AD169" s="2"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170" ht="150" customHeight="1">
      <c r="A170" s="2" t="inlineStr">
        <is>
          <t>ETO-RD-AR 00033/2026</t>
        </is>
      </c>
      <c r="B170" s="2" t="inlineStr">
        <is>
          <t>jan</t>
        </is>
      </c>
      <c r="C170" s="7" t="inlineStr">
        <is>
          <t>Troca sem falha</t>
        </is>
      </c>
      <c r="D170" s="2" t="inlineStr">
        <is>
          <t>Preventivo</t>
        </is>
      </c>
      <c r="E170" s="2" t="inlineStr">
        <is>
          <t>EXPURGO</t>
        </is>
      </c>
      <c r="F170" s="2" t="inlineStr">
        <is>
          <t>QUEIMADO</t>
        </is>
      </c>
      <c r="G170" s="2" t="inlineStr">
        <is>
          <t>esteira 1.582</t>
        </is>
      </c>
      <c r="H170" s="2" t="inlineStr">
        <is>
          <t>PREVENTIVO/PROGRAMADO</t>
        </is>
      </c>
      <c r="I170" s="2" t="n">
        <v>5701104022</v>
      </c>
      <c r="J170" s="2" t="inlineStr">
        <is>
          <t>ENC-MLAR01  000049/2026</t>
        </is>
      </c>
      <c r="K170" s="2" t="n">
        <v>612600049</v>
      </c>
      <c r="L170" s="2" t="inlineStr">
        <is>
          <t>2026-01-08 09:56</t>
        </is>
      </c>
      <c r="M170" s="2" t="inlineStr">
        <is>
          <t>2026-01-08 23:52</t>
        </is>
      </c>
      <c r="N170" s="2" t="inlineStr">
        <is>
          <t>FORMS SUBST DE TRANSFORMADOR</t>
        </is>
      </c>
      <c r="O170" s="2" t="inlineStr">
        <is>
          <t>ETO-RD-AR</t>
        </is>
      </c>
      <c r="P170" s="2" t="inlineStr">
        <is>
          <t>BABACULANDIA</t>
        </is>
      </c>
      <c r="Q170" s="2" t="inlineStr">
        <is>
          <t>QUEIMADO</t>
        </is>
      </c>
      <c r="R170" s="2" t="inlineStr">
        <is>
          <t>DESCARGA ATMOSFÉRICA</t>
        </is>
      </c>
      <c r="S170" s="2" t="inlineStr">
        <is>
          <t>671932</t>
        </is>
      </c>
      <c r="T170" s="2" t="n">
        <v>670010</v>
      </c>
      <c r="U170" s="2" t="inlineStr">
        <is>
          <t>sim</t>
        </is>
      </c>
      <c r="V170" s="2" t="inlineStr">
        <is>
          <t>TRANSFORMADOR</t>
        </is>
      </c>
      <c r="W170" s="2" t="inlineStr">
        <is>
          <t>QUEIMADO POR CAUSA NAO IDENTIFICADA</t>
        </is>
      </c>
      <c r="X170" s="2" t="inlineStr">
        <is>
          <t>TRANSFORMADOR</t>
        </is>
      </c>
      <c r="Y170" s="2" t="inlineStr">
        <is>
          <t>QUEIMADO POR CAUSA NAO IDENTIFICADA</t>
        </is>
      </c>
      <c r="Z170" s="4" t="inlineStr">
        <is>
          <t>SIM</t>
        </is>
      </c>
      <c r="AA170" s="4" t="inlineStr">
        <is>
          <t>leitura caso a caso</t>
        </is>
      </c>
      <c r="AB170"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0" s="2" t="inlineStr">
        <is>
          <t>Trafo 5701104022 15 kva Tensão: 19.9Acesso: somente para caminhoneteEquipe: 022op02Contato da equipe: 99218-9180Endereço: IND FAZENDA BOM SUSSEGO</t>
        </is>
      </c>
      <c r="AD170" s="2" t="inlineStr">
        <is>
          <t xml:space="preserve">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 
</t>
        </is>
      </c>
    </row>
    <row r="171" ht="150" customHeight="1">
      <c r="A171" s="2" t="inlineStr">
        <is>
          <t>ETO-RD-AR 00172/2026</t>
        </is>
      </c>
      <c r="B171" s="2" t="inlineStr">
        <is>
          <t>jan</t>
        </is>
      </c>
      <c r="C171" s="7" t="inlineStr">
        <is>
          <t>Troca sem falha</t>
        </is>
      </c>
      <c r="D171" s="2" t="inlineStr">
        <is>
          <t>Preventivo</t>
        </is>
      </c>
      <c r="E171" s="2" t="inlineStr">
        <is>
          <t>EXPURGO</t>
        </is>
      </c>
      <c r="F171" s="2" t="inlineStr">
        <is>
          <t>QUEIMADO</t>
        </is>
      </c>
      <c r="G171" s="2" t="inlineStr">
        <is>
          <t>esteira 1.582</t>
        </is>
      </c>
      <c r="H171" s="2" t="inlineStr">
        <is>
          <t>PREVENTIVO/PROGRAMADO</t>
        </is>
      </c>
      <c r="I171" s="2" t="n">
        <v>5710357058</v>
      </c>
      <c r="J171" s="2" t="inlineStr">
        <is>
          <t>ENC-MLAR05  000062/2026</t>
        </is>
      </c>
      <c r="K171" s="2" t="n">
        <v>612600113</v>
      </c>
      <c r="L171" s="2" t="inlineStr">
        <is>
          <t>2026-01-28 21:40</t>
        </is>
      </c>
      <c r="M171" s="2" t="inlineStr">
        <is>
          <t>2026-01-29 19:40</t>
        </is>
      </c>
      <c r="N171" s="2" t="inlineStr">
        <is>
          <t>FORMS SUBST DE TRANSFORMADOR</t>
        </is>
      </c>
      <c r="O171" s="2" t="inlineStr">
        <is>
          <t>ETO-RD-AR</t>
        </is>
      </c>
      <c r="P171" s="2" t="inlineStr">
        <is>
          <t>SANTA FE DO ARAGUAIA</t>
        </is>
      </c>
      <c r="Q171" s="2" t="inlineStr">
        <is>
          <t>AVARIADO</t>
        </is>
      </c>
      <c r="R171" s="2" t="inlineStr">
        <is>
          <t>BUCHA DANIFICADA</t>
        </is>
      </c>
      <c r="S171" s="2" t="inlineStr">
        <is>
          <t>463538</t>
        </is>
      </c>
      <c r="T171" s="2" t="n">
        <v>586784</v>
      </c>
      <c r="U171" s="2" t="inlineStr">
        <is>
          <t>sim</t>
        </is>
      </c>
      <c r="V171" s="2" t="inlineStr">
        <is>
          <t>TRANSFORMADOR</t>
        </is>
      </c>
      <c r="W171" s="2" t="inlineStr">
        <is>
          <t>QUEIMADO POR CAUSA NAO IDENTIFICADA</t>
        </is>
      </c>
      <c r="X171" s="2" t="n"/>
      <c r="Y171" s="2" t="n"/>
      <c r="Z171" s="4" t="inlineStr">
        <is>
          <t>SIM</t>
        </is>
      </c>
      <c r="AA171" s="4" t="inlineStr">
        <is>
          <t>leitura caso a caso</t>
        </is>
      </c>
      <c r="AB171"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1" s="2" t="inlineStr">
        <is>
          <t>Trafo: 5710357058  45kvaTensão: 34,5Acesso: Livre para caminhão e caminhoneteEquipe: 040op36Contato da equipe: 99248-4163Endereço: IND FAZENDA SANTA MARTA, 0 - FAZ. SANTA MARTA</t>
        </is>
      </c>
      <c r="AD171" s="2" t="inlineStr">
        <is>
          <t xml:space="preserve">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 
</t>
        </is>
      </c>
    </row>
    <row r="172" ht="30" customHeight="1">
      <c r="A172" s="2" t="inlineStr">
        <is>
          <t>ETO-RD-AG 00227/2026</t>
        </is>
      </c>
      <c r="B172" s="2" t="inlineStr">
        <is>
          <t>fev</t>
        </is>
      </c>
      <c r="C172" s="7" t="inlineStr">
        <is>
          <t>Troca sem falha</t>
        </is>
      </c>
      <c r="D172" s="2" t="inlineStr">
        <is>
          <t>Preventivo</t>
        </is>
      </c>
      <c r="E172" s="2" t="inlineStr">
        <is>
          <t>EXPURGO</t>
        </is>
      </c>
      <c r="F172" s="2" t="inlineStr">
        <is>
          <t>PREVENTIVO</t>
        </is>
      </c>
      <c r="G172" s="2" t="inlineStr">
        <is>
          <t>esteira 1.582</t>
        </is>
      </c>
      <c r="H172" s="2" t="inlineStr">
        <is>
          <t>PREVENTIVO/PROGRAMADO</t>
        </is>
      </c>
      <c r="I172" s="2" t="n">
        <v>5701990039</v>
      </c>
      <c r="J172" s="2" t="inlineStr">
        <is>
          <t>ETO-RD-AG  000157/2026</t>
        </is>
      </c>
      <c r="K172" s="2" t="n">
        <v>662600140</v>
      </c>
      <c r="L172" s="2" t="inlineStr">
        <is>
          <t>2026-02-24 13:10</t>
        </is>
      </c>
      <c r="M172" s="2" t="inlineStr">
        <is>
          <t>2026-02-24 22:44</t>
        </is>
      </c>
      <c r="N172" s="2" t="inlineStr">
        <is>
          <t>AVISO DE ANOMALIA</t>
        </is>
      </c>
      <c r="O172" s="2" t="inlineStr">
        <is>
          <t>ETO-RD-AG</t>
        </is>
      </c>
      <c r="P172" s="2" t="inlineStr">
        <is>
          <t>ARAGUATINS</t>
        </is>
      </c>
      <c r="Q172" s="2" t="inlineStr">
        <is>
          <t>SOBRECARGA PREVENTIVA</t>
        </is>
      </c>
      <c r="R172" s="2" t="inlineStr">
        <is>
          <t>SOBRECARGA</t>
        </is>
      </c>
      <c r="S172" s="2" t="n"/>
      <c r="T172" s="2" t="n"/>
      <c r="U172" s="2" t="inlineStr">
        <is>
          <t>não</t>
        </is>
      </c>
      <c r="V172" s="2" t="n"/>
      <c r="W172" s="2" t="n"/>
      <c r="X172" s="2" t="n"/>
      <c r="Y172" s="2" t="n"/>
      <c r="Z172" s="4" t="inlineStr">
        <is>
          <t>não</t>
        </is>
      </c>
      <c r="AA172" s="4" t="inlineStr">
        <is>
          <t>leitura caso a caso</t>
        </is>
      </c>
      <c r="AB172" s="4" t="inlineStr">
        <is>
          <t>Fora do indicador: a SS está gravada no sistema como preventivo.</t>
        </is>
      </c>
      <c r="AC172" s="2" t="inlineStr">
        <is>
          <t>Nota para manutenção substituir trafo 5701990039 de 15KVA na 19.9KV Trafo do Assentamento Palmares na RDR de Araguatins- MD N5-2645782-12,Acesso livre  equipe 039OP05 999755330</t>
        </is>
      </c>
      <c r="AD172" s="2" t="inlineStr">
        <is>
          <t>PLANO DE MEDIDA - Realizar substituição do trafo 5701990039- TRAFO DE 15KVA POR TRAFO DE 25KVA.</t>
        </is>
      </c>
    </row>
    <row r="173" ht="150" customHeight="1">
      <c r="A173" s="2" t="inlineStr">
        <is>
          <t>DOLP-RD-PA 00369/2026</t>
        </is>
      </c>
      <c r="B173" s="2" t="inlineStr">
        <is>
          <t>mar</t>
        </is>
      </c>
      <c r="C173" s="7" t="inlineStr">
        <is>
          <t>Troca sem falha</t>
        </is>
      </c>
      <c r="D173" s="2" t="inlineStr">
        <is>
          <t>Preventivo</t>
        </is>
      </c>
      <c r="E173" s="2" t="inlineStr">
        <is>
          <t>EXPURGO</t>
        </is>
      </c>
      <c r="F173" s="2" t="inlineStr">
        <is>
          <t>QUEIMADO</t>
        </is>
      </c>
      <c r="G173" s="2" t="inlineStr">
        <is>
          <t>esteira 1.582</t>
        </is>
      </c>
      <c r="H173" s="2" t="inlineStr">
        <is>
          <t>PREVENTIVO/PROGRAMADO</t>
        </is>
      </c>
      <c r="I173" s="2" t="n">
        <v>5703603122</v>
      </c>
      <c r="J173" s="2" t="inlineStr">
        <is>
          <t>DLP-MLPA01  000093/2026</t>
        </is>
      </c>
      <c r="K173" s="2" t="n">
        <v>112600313</v>
      </c>
      <c r="L173" s="2" t="inlineStr">
        <is>
          <t>2026-03-22 10:59</t>
        </is>
      </c>
      <c r="M173" s="2" t="inlineStr">
        <is>
          <t>2026-03-22 17:30</t>
        </is>
      </c>
      <c r="N173" s="2" t="inlineStr">
        <is>
          <t>FORMS SUBST DE TRANSFORMADOR</t>
        </is>
      </c>
      <c r="O173" s="2" t="inlineStr">
        <is>
          <t>DOLP-RD-PA</t>
        </is>
      </c>
      <c r="P173" s="2" t="inlineStr">
        <is>
          <t>PALMAS</t>
        </is>
      </c>
      <c r="Q173" s="2" t="inlineStr">
        <is>
          <t>QUEIMADO</t>
        </is>
      </c>
      <c r="R173" s="2" t="inlineStr">
        <is>
          <t>DESCARGA ATMOSFÉRICA</t>
        </is>
      </c>
      <c r="S173" s="2" t="inlineStr">
        <is>
          <t>449517</t>
        </is>
      </c>
      <c r="T173" s="2" t="n">
        <v>1588041</v>
      </c>
      <c r="U173" s="2" t="inlineStr">
        <is>
          <t>sim</t>
        </is>
      </c>
      <c r="V173" s="2" t="inlineStr">
        <is>
          <t>TRANSFORMADOR</t>
        </is>
      </c>
      <c r="W173" s="2" t="inlineStr">
        <is>
          <t>QUEIMADO POR DESCARGA ATMOSFERICA</t>
        </is>
      </c>
      <c r="X173" s="2" t="inlineStr">
        <is>
          <t>TRANSFORMADOR</t>
        </is>
      </c>
      <c r="Y173" s="2" t="inlineStr">
        <is>
          <t>QUEIMADO POR DESCARGA ATMOSFERICA</t>
        </is>
      </c>
      <c r="Z173" s="4" t="inlineStr">
        <is>
          <t>SIM</t>
        </is>
      </c>
      <c r="AA173" s="4" t="inlineStr">
        <is>
          <t>leitura caso a caso</t>
        </is>
      </c>
      <c r="AB173"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3" s="2" t="inlineStr">
        <is>
          <t>segue nota de trafo, trafo 5703603122, trafo de 15 kva, tensao 34500 / 440 V, para raio danificado, acesso somente para caminhonete, obs trafo fica um distancia de 300 metros</t>
        </is>
      </c>
      <c r="AD173" s="2" t="inlineStr">
        <is>
          <t>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
        </is>
      </c>
    </row>
    <row r="174" ht="30" customHeight="1">
      <c r="A174" s="2" t="inlineStr">
        <is>
          <t>DOLP-RD-PA 00479/2026</t>
        </is>
      </c>
      <c r="B174" s="2" t="inlineStr">
        <is>
          <t>abr</t>
        </is>
      </c>
      <c r="C174" s="7" t="inlineStr">
        <is>
          <t>Troca sem falha</t>
        </is>
      </c>
      <c r="D174" s="2" t="inlineStr">
        <is>
          <t>Preventivo</t>
        </is>
      </c>
      <c r="E174" s="2" t="inlineStr">
        <is>
          <t>EXPURGO</t>
        </is>
      </c>
      <c r="F174" s="2" t="inlineStr">
        <is>
          <t>PREVENTIVO</t>
        </is>
      </c>
      <c r="G174" s="2" t="inlineStr">
        <is>
          <t>esteira 1.582</t>
        </is>
      </c>
      <c r="H174" s="2" t="inlineStr">
        <is>
          <t>PREVENTIVO/PROGRAMADO</t>
        </is>
      </c>
      <c r="I174" s="2" t="n">
        <v>5706792122</v>
      </c>
      <c r="J174" s="2" t="inlineStr">
        <is>
          <t>DLP-CTPA00  000077/2026</t>
        </is>
      </c>
      <c r="K174" s="2" t="n">
        <v>112600717</v>
      </c>
      <c r="L174" s="2" t="inlineStr">
        <is>
          <t>2026-04-23 16:04</t>
        </is>
      </c>
      <c r="M174" s="2" t="inlineStr">
        <is>
          <t>2026-04-24 18:00</t>
        </is>
      </c>
      <c r="N174" s="2" t="inlineStr">
        <is>
          <t>SOLICITAÇÃO DE SERVIÇO</t>
        </is>
      </c>
      <c r="O174" s="2" t="inlineStr">
        <is>
          <t>DOLP-RD-PA</t>
        </is>
      </c>
      <c r="P174" s="2" t="inlineStr">
        <is>
          <t>PALMAS</t>
        </is>
      </c>
      <c r="Q174" s="2" t="n"/>
      <c r="R174" s="2" t="inlineStr">
        <is>
          <t>NÃO IDENTIFICADO</t>
        </is>
      </c>
      <c r="S174" s="2" t="inlineStr">
        <is>
          <t>0</t>
        </is>
      </c>
      <c r="T174" s="2" t="n">
        <v>0</v>
      </c>
      <c r="U174" s="2" t="inlineStr">
        <is>
          <t>não</t>
        </is>
      </c>
      <c r="V174" s="2" t="n"/>
      <c r="W174" s="2" t="n"/>
      <c r="X174" s="2" t="n"/>
      <c r="Y174" s="2" t="n"/>
      <c r="Z174" s="4" t="inlineStr">
        <is>
          <t>não</t>
        </is>
      </c>
      <c r="AA174" s="4" t="inlineStr">
        <is>
          <t>leitura caso a caso</t>
        </is>
      </c>
      <c r="AB174" s="4" t="inlineStr">
        <is>
          <t>Fora do indicador: a SS está gravada no sistema como preventivo.</t>
        </is>
      </c>
      <c r="AC174" s="2" t="inlineStr">
        <is>
          <t>Topologia 06792 trocar transformador de 112,5 kVA para 150 KVA. Fazer saída com CABO 120MM e dupla os perfurantes da BT.</t>
        </is>
      </c>
      <c r="AD174" s="2" t="inlineStr">
        <is>
          <t>MEDIDO_ 
01. Baixado para consumo de material 
Topologia 06792 trocar transformador de 112,5 kVA para 150 KVA. Fazer saída com CABO 120MM e dupla os perfurantes da BT. 
DADOS DO ATENDIMENTO:  
EQUIPE: 833019 
ENCARREGADO: REGINALDO OLIVEIRA 
DATA: 24/04/2026</t>
        </is>
      </c>
    </row>
    <row r="175" ht="150" customHeight="1">
      <c r="A175" s="2" t="inlineStr">
        <is>
          <t>DOLP-RD-PA 00488/2026</t>
        </is>
      </c>
      <c r="B175" s="2" t="inlineStr">
        <is>
          <t>abr</t>
        </is>
      </c>
      <c r="C175" s="7" t="inlineStr">
        <is>
          <t>Troca sem falha</t>
        </is>
      </c>
      <c r="D175" s="2" t="inlineStr">
        <is>
          <t>Preventivo</t>
        </is>
      </c>
      <c r="E175" s="2" t="inlineStr">
        <is>
          <t>EXPURGO</t>
        </is>
      </c>
      <c r="F175" s="2" t="inlineStr">
        <is>
          <t>AVARIADO</t>
        </is>
      </c>
      <c r="G175" s="2" t="inlineStr">
        <is>
          <t>esteira 1.582</t>
        </is>
      </c>
      <c r="H175" s="2" t="inlineStr">
        <is>
          <t>PREVENTIVO/PROGRAMADO</t>
        </is>
      </c>
      <c r="I175" s="2" t="n">
        <v>5731651122</v>
      </c>
      <c r="J175" s="2" t="inlineStr">
        <is>
          <t>DLP-CTPA00  000076/2026</t>
        </is>
      </c>
      <c r="K175" s="2" t="n">
        <v>112600523</v>
      </c>
      <c r="L175" s="2" t="inlineStr">
        <is>
          <t>2026-04-23 16:59</t>
        </is>
      </c>
      <c r="M175" s="2" t="inlineStr">
        <is>
          <t>2026-04-24 18:00</t>
        </is>
      </c>
      <c r="N175" s="2" t="inlineStr">
        <is>
          <t>SOLICITAÇÃO DE SERVIÇO</t>
        </is>
      </c>
      <c r="O175" s="2" t="inlineStr">
        <is>
          <t>DOLP-RD-PA</t>
        </is>
      </c>
      <c r="P175" s="2" t="inlineStr">
        <is>
          <t>PALMAS</t>
        </is>
      </c>
      <c r="Q175" s="2" t="n"/>
      <c r="R175" s="2" t="inlineStr">
        <is>
          <t>VAZAMENTO DE ÓLEO</t>
        </is>
      </c>
      <c r="S175" s="2" t="inlineStr">
        <is>
          <t>650536</t>
        </is>
      </c>
      <c r="T175" s="2" t="n">
        <v>1672875</v>
      </c>
      <c r="U175" s="2" t="inlineStr">
        <is>
          <t>sim</t>
        </is>
      </c>
      <c r="V175" s="2" t="n"/>
      <c r="W175" s="2" t="n"/>
      <c r="X175" s="2" t="n"/>
      <c r="Y175" s="2" t="n"/>
      <c r="Z175" s="4" t="inlineStr">
        <is>
          <t>não</t>
        </is>
      </c>
      <c r="AA175" s="4" t="inlineStr">
        <is>
          <t>leitura caso a caso</t>
        </is>
      </c>
      <c r="AB175" s="4"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AC175" s="2" t="inlineStr">
        <is>
          <t xml:space="preserve">Topologia 31651 substituir Trafo devido esta com vazamento de óleo </t>
        </is>
      </c>
      <c r="AD175" s="2" t="inlineStr">
        <is>
          <t>MEDIDO_ 
EMERGENCIAL_ 
Topologia 31651 substituir Trafo devido esta com vazamento de óleo  
DADOS DO ATENDIMENTO:  
EQUIPE: 833019 
ENCARREGADO: REGINALDO OLIVEIRA 
DATA: 24/04/2026</t>
        </is>
      </c>
    </row>
    <row r="176" ht="150" customHeight="1">
      <c r="A176" s="2" t="inlineStr">
        <is>
          <t>ETO-RD-AG 00501/2026</t>
        </is>
      </c>
      <c r="B176" s="2" t="inlineStr">
        <is>
          <t>mai</t>
        </is>
      </c>
      <c r="C176" s="7" t="inlineStr">
        <is>
          <t>Troca sem falha</t>
        </is>
      </c>
      <c r="D176" s="2" t="inlineStr">
        <is>
          <t>Preventivo</t>
        </is>
      </c>
      <c r="E176" s="2" t="inlineStr">
        <is>
          <t>EXPURGO</t>
        </is>
      </c>
      <c r="F176" s="2" t="inlineStr">
        <is>
          <t>AVARIADO</t>
        </is>
      </c>
      <c r="G176" s="2" t="inlineStr">
        <is>
          <t>esteira 1.582</t>
        </is>
      </c>
      <c r="H176" s="2" t="inlineStr">
        <is>
          <t>PREVENTIVO/PROGRAMADO</t>
        </is>
      </c>
      <c r="I176" s="2" t="n">
        <v>5700105132</v>
      </c>
      <c r="J176" s="2" t="inlineStr">
        <is>
          <t>ETO-RD-AG  000430/2026</t>
        </is>
      </c>
      <c r="K176" s="2" t="n">
        <v>662600304</v>
      </c>
      <c r="L176" s="2" t="inlineStr">
        <is>
          <t>2026-05-13 07:19</t>
        </is>
      </c>
      <c r="M176" s="2" t="inlineStr">
        <is>
          <t>2026-05-13 10:16</t>
        </is>
      </c>
      <c r="N176" s="2" t="inlineStr">
        <is>
          <t>AVISO DE ANOMALIA</t>
        </is>
      </c>
      <c r="O176" s="2" t="inlineStr">
        <is>
          <t>ETO-RD-AG</t>
        </is>
      </c>
      <c r="P176" s="2" t="inlineStr">
        <is>
          <t>SAMPAIO</t>
        </is>
      </c>
      <c r="Q176" s="2" t="inlineStr">
        <is>
          <t>SOBRECARGA PREVENTIVA</t>
        </is>
      </c>
      <c r="R176" s="2" t="n"/>
      <c r="S176" s="2" t="n"/>
      <c r="T176" s="2" t="n"/>
      <c r="U176" s="2" t="inlineStr">
        <is>
          <t>não</t>
        </is>
      </c>
      <c r="V176" s="2" t="n"/>
      <c r="W176" s="2" t="n"/>
      <c r="X176" s="2" t="n"/>
      <c r="Y176" s="2" t="n"/>
      <c r="Z176" s="4" t="inlineStr">
        <is>
          <t>não</t>
        </is>
      </c>
      <c r="AA176" s="4" t="inlineStr">
        <is>
          <t>leitura caso a caso</t>
        </is>
      </c>
      <c r="AB176" s="4"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AC176" s="2" t="inlineStr">
        <is>
          <t>Enviar equipe de manutenção para substituir trafo com vazamento de oleo na bucha secundária fase A - TRAFO 5700105132 - 5KVA-19.9KV</t>
        </is>
      </c>
      <c r="AD176" s="2" t="inlineStr">
        <is>
          <t>PLANO DE MEDIDA - Realizar substituição do trafo 5700105132 de 5 kVA para 15 kVA  - Direcionar serviço para projeto SIGCO 25983.</t>
        </is>
      </c>
    </row>
    <row r="177" ht="150" customHeight="1">
      <c r="A177" s="2" t="inlineStr">
        <is>
          <t>ETO-RD-AR 00820/2026</t>
        </is>
      </c>
      <c r="B177" s="2" t="inlineStr">
        <is>
          <t>mai</t>
        </is>
      </c>
      <c r="C177" s="7" t="inlineStr">
        <is>
          <t>Troca sem falha</t>
        </is>
      </c>
      <c r="D177" s="2" t="inlineStr">
        <is>
          <t>Preventivo</t>
        </is>
      </c>
      <c r="E177" s="2" t="inlineStr">
        <is>
          <t>EXPURGO</t>
        </is>
      </c>
      <c r="F177" s="2" t="inlineStr">
        <is>
          <t>QUEIMADO</t>
        </is>
      </c>
      <c r="G177" s="2" t="inlineStr">
        <is>
          <t>esteira 1.582</t>
        </is>
      </c>
      <c r="H177" s="2" t="inlineStr">
        <is>
          <t>PREVENTIVO/PROGRAMADO</t>
        </is>
      </c>
      <c r="I177" s="2" t="n">
        <v>5700017265</v>
      </c>
      <c r="J177" s="2" t="inlineStr">
        <is>
          <t>ENC-MLAR03  000078/2026</t>
        </is>
      </c>
      <c r="K177" s="2" t="n">
        <v>612600494</v>
      </c>
      <c r="L177" s="2" t="inlineStr">
        <is>
          <t>2026-05-09 09:46</t>
        </is>
      </c>
      <c r="M177" s="2" t="inlineStr">
        <is>
          <t>2026-05-09 18:55</t>
        </is>
      </c>
      <c r="N177" s="2" t="inlineStr">
        <is>
          <t>FORMS SUBST DE TRANSFORMADOR</t>
        </is>
      </c>
      <c r="O177" s="2" t="inlineStr">
        <is>
          <t>ETO-RD-AR</t>
        </is>
      </c>
      <c r="P177" s="2" t="inlineStr">
        <is>
          <t>BARRA DO OURO</t>
        </is>
      </c>
      <c r="Q177" s="2" t="inlineStr">
        <is>
          <t>AVARIADO</t>
        </is>
      </c>
      <c r="R177" s="2" t="inlineStr">
        <is>
          <t>BUCHA DANIFICADA</t>
        </is>
      </c>
      <c r="S177" s="2" t="inlineStr">
        <is>
          <t>1782636</t>
        </is>
      </c>
      <c r="T177" s="2" t="n">
        <v>828172</v>
      </c>
      <c r="U177" s="2" t="inlineStr">
        <is>
          <t>sim</t>
        </is>
      </c>
      <c r="V177" s="2" t="inlineStr">
        <is>
          <t>TRANSFORMADOR</t>
        </is>
      </c>
      <c r="W177" s="2" t="inlineStr">
        <is>
          <t>FALHA BUCHA DE BT</t>
        </is>
      </c>
      <c r="X177" s="2" t="n"/>
      <c r="Y177" s="2" t="n"/>
      <c r="Z177" s="4" t="inlineStr">
        <is>
          <t>SIM</t>
        </is>
      </c>
      <c r="AA177" s="4" t="inlineStr">
        <is>
          <t>leitura caso a caso</t>
        </is>
      </c>
      <c r="AB177"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7" s="2" t="inlineStr">
        <is>
          <t>transformador 5700017265 pegou fogo na bucha secundaria e danificou a msma.povoado morro grande verificar possibilidade de colocar um de potencia maior.(obs) Levar cabo pirastique equipe 265op01</t>
        </is>
      </c>
      <c r="AD177" s="2" t="inlineStr">
        <is>
          <t xml:space="preserve">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 
</t>
        </is>
      </c>
    </row>
    <row r="178" ht="150" customHeight="1">
      <c r="A178" s="2" t="inlineStr">
        <is>
          <t>DOLP-RD-PA 00688/2026</t>
        </is>
      </c>
      <c r="B178" s="2" t="inlineStr">
        <is>
          <t>jun</t>
        </is>
      </c>
      <c r="C178" s="7" t="inlineStr">
        <is>
          <t>Troca sem falha</t>
        </is>
      </c>
      <c r="D178" s="2" t="inlineStr">
        <is>
          <t>Preventivo</t>
        </is>
      </c>
      <c r="E178" s="2" t="inlineStr">
        <is>
          <t>EXPURGO</t>
        </is>
      </c>
      <c r="F178" s="2" t="inlineStr">
        <is>
          <t>AVARIADO</t>
        </is>
      </c>
      <c r="G178" s="2" t="inlineStr">
        <is>
          <t>esteira 1.582</t>
        </is>
      </c>
      <c r="H178" s="2" t="inlineStr">
        <is>
          <t>PREVENTIVO/PROGRAMADO</t>
        </is>
      </c>
      <c r="I178" s="2" t="n">
        <v>5706190122</v>
      </c>
      <c r="J178" s="2" t="inlineStr">
        <is>
          <t>DLP-CTPA00  000110/2026</t>
        </is>
      </c>
      <c r="K178" s="2" t="n">
        <v>112600637</v>
      </c>
      <c r="L178" s="2" t="inlineStr">
        <is>
          <t>2026-06-19 09:03</t>
        </is>
      </c>
      <c r="M178" s="2" t="inlineStr">
        <is>
          <t>2026-06-19 18:00</t>
        </is>
      </c>
      <c r="N178" s="2" t="inlineStr">
        <is>
          <t>FORMS SUBST DE TRANSFORMADOR</t>
        </is>
      </c>
      <c r="O178" s="2" t="inlineStr">
        <is>
          <t>DOLP-RD-PA</t>
        </is>
      </c>
      <c r="P178" s="2" t="inlineStr">
        <is>
          <t>PALMAS</t>
        </is>
      </c>
      <c r="Q178" s="2" t="inlineStr">
        <is>
          <t>AVARIADO</t>
        </is>
      </c>
      <c r="R178" s="2" t="inlineStr">
        <is>
          <t>VAZAMENTO DE ÓLEO</t>
        </is>
      </c>
      <c r="S178" s="2" t="inlineStr">
        <is>
          <t>106534</t>
        </is>
      </c>
      <c r="T178" s="2" t="n">
        <v>1648754</v>
      </c>
      <c r="U178" s="2" t="inlineStr">
        <is>
          <t>sim</t>
        </is>
      </c>
      <c r="V178" s="2" t="n"/>
      <c r="W178" s="2" t="n"/>
      <c r="X178" s="2" t="n"/>
      <c r="Y178" s="2" t="n"/>
      <c r="Z178" s="4" t="inlineStr">
        <is>
          <t>SIM</t>
        </is>
      </c>
      <c r="AA178" s="4" t="inlineStr">
        <is>
          <t>leitura caso a caso</t>
        </is>
      </c>
      <c r="AB178" s="4"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AC178" s="2" t="inlineStr">
        <is>
          <t>Trafo 5706190122 com vazamento de oleo,não visível na viabilidade feito pela equipe de linha viva, necessario executar a troca do mesmoPotencia: 75 KVATensão: 13800/380VElo: 3H</t>
        </is>
      </c>
      <c r="AD178" s="2"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179" ht="30" customHeight="1">
      <c r="A179" s="2" t="inlineStr">
        <is>
          <t>ETO-RD-AR 00986/2026</t>
        </is>
      </c>
      <c r="B179" s="2" t="inlineStr">
        <is>
          <t>jun</t>
        </is>
      </c>
      <c r="C179" s="7" t="inlineStr">
        <is>
          <t>Troca sem falha</t>
        </is>
      </c>
      <c r="D179" s="2" t="inlineStr">
        <is>
          <t>Preventivo</t>
        </is>
      </c>
      <c r="E179" s="2" t="inlineStr">
        <is>
          <t>EXPURGO</t>
        </is>
      </c>
      <c r="F179" s="2" t="inlineStr">
        <is>
          <t>PREVENTIVO</t>
        </is>
      </c>
      <c r="G179" s="2" t="inlineStr">
        <is>
          <t>esteira 1.582</t>
        </is>
      </c>
      <c r="H179" s="2" t="inlineStr">
        <is>
          <t>PREVENTIVO/PROGRAMADO</t>
        </is>
      </c>
      <c r="I179" s="2" t="n">
        <v>5766833004</v>
      </c>
      <c r="J179" s="2" t="inlineStr">
        <is>
          <t>ENC-MLAR05  000332/2026</t>
        </is>
      </c>
      <c r="K179" s="2" t="n">
        <v>612600619</v>
      </c>
      <c r="L179" s="2" t="inlineStr">
        <is>
          <t>2026-06-16 16:56</t>
        </is>
      </c>
      <c r="M179" s="2" t="inlineStr">
        <is>
          <t>2026-06-16 22:13</t>
        </is>
      </c>
      <c r="N179" s="2" t="inlineStr">
        <is>
          <t>AVISO DE ANOMALIA</t>
        </is>
      </c>
      <c r="O179" s="2" t="inlineStr">
        <is>
          <t>ETO-RD-AR</t>
        </is>
      </c>
      <c r="P179" s="2" t="inlineStr">
        <is>
          <t>ARAGUAINA</t>
        </is>
      </c>
      <c r="Q179" s="2" t="n"/>
      <c r="R179" s="2" t="n"/>
      <c r="S179" s="2" t="inlineStr">
        <is>
          <t>599374</t>
        </is>
      </c>
      <c r="T179" s="2" t="n">
        <v>441007</v>
      </c>
      <c r="U179" s="2" t="inlineStr">
        <is>
          <t>sim</t>
        </is>
      </c>
      <c r="V179" s="2" t="n"/>
      <c r="W179" s="2" t="n"/>
      <c r="X179" s="2" t="n"/>
      <c r="Y179" s="2" t="n"/>
      <c r="Z179" s="4" t="inlineStr">
        <is>
          <t>não</t>
        </is>
      </c>
      <c r="AA179" s="4" t="inlineStr">
        <is>
          <t>leitura caso a caso</t>
        </is>
      </c>
      <c r="AB179" s="4" t="inlineStr">
        <is>
          <t>Fora do indicador: a SS está gravada no sistema como preventivo.</t>
        </is>
      </c>
      <c r="AC179" s="2" t="inlineStr">
        <is>
          <t>Instalar P600 no trafo 5766833004 e ajudar na abertura para remanejamentos de UC´s do trafo</t>
        </is>
      </c>
      <c r="AD179" s="2"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80" ht="45" customHeight="1">
      <c r="A180" s="2" t="inlineStr">
        <is>
          <t>ETO-RD-GU 00129/2026</t>
        </is>
      </c>
      <c r="B180" s="2" t="inlineStr">
        <is>
          <t>jan</t>
        </is>
      </c>
      <c r="C180" s="7" t="inlineStr">
        <is>
          <t>Troca sem falha</t>
        </is>
      </c>
      <c r="D180" s="2" t="inlineStr">
        <is>
          <t>Remanejamento</t>
        </is>
      </c>
      <c r="E180" s="2" t="inlineStr">
        <is>
          <t>EXPURGO</t>
        </is>
      </c>
      <c r="F180" s="2" t="inlineStr">
        <is>
          <t>QUEIMADO</t>
        </is>
      </c>
      <c r="G180" s="2" t="inlineStr">
        <is>
          <t>esteira 1.582</t>
        </is>
      </c>
      <c r="H180" s="2" t="inlineStr">
        <is>
          <t>REMANEJAMENTO</t>
        </is>
      </c>
      <c r="I180" s="2" t="n">
        <v>5710624052</v>
      </c>
      <c r="J180" s="2" t="inlineStr">
        <is>
          <t>DBM-MLDB03  000024/2026</t>
        </is>
      </c>
      <c r="K180" s="2" t="n">
        <v>412600150</v>
      </c>
      <c r="L180" s="2" t="inlineStr">
        <is>
          <t>2026-01-27 09:33</t>
        </is>
      </c>
      <c r="M180" s="2" t="inlineStr">
        <is>
          <t>2026-01-28 14:29</t>
        </is>
      </c>
      <c r="N180" s="2" t="inlineStr">
        <is>
          <t>FORMS SUBST DE TRANSFORMADOR</t>
        </is>
      </c>
      <c r="O180" s="2" t="inlineStr">
        <is>
          <t>ETO-RD-GU</t>
        </is>
      </c>
      <c r="P180" s="2" t="inlineStr">
        <is>
          <t>FORMOSO DO ARAGUAIA</t>
        </is>
      </c>
      <c r="Q180" s="2" t="inlineStr">
        <is>
          <t>QUEIMADO</t>
        </is>
      </c>
      <c r="R180" s="2" t="inlineStr">
        <is>
          <t>DESCARGA ATMOSFÉRICA</t>
        </is>
      </c>
      <c r="S180" s="2" t="inlineStr">
        <is>
          <t>66610</t>
        </is>
      </c>
      <c r="T180" s="2" t="n">
        <v>799446</v>
      </c>
      <c r="U180" s="2" t="inlineStr">
        <is>
          <t>sim</t>
        </is>
      </c>
      <c r="V180" s="2" t="inlineStr">
        <is>
          <t>TRANSFORMADOR</t>
        </is>
      </c>
      <c r="W180" s="2" t="inlineStr">
        <is>
          <t>QUEIMADO POR SOBRECARGA</t>
        </is>
      </c>
      <c r="X180" s="2" t="n"/>
      <c r="Y180" s="2" t="n"/>
      <c r="Z180" s="4" t="inlineStr">
        <is>
          <t>não</t>
        </is>
      </c>
      <c r="AA180" s="4" t="inlineStr">
        <is>
          <t>leitura caso a caso</t>
        </is>
      </c>
      <c r="AB180" s="4" t="inlineStr">
        <is>
          <t>Fora do indicador: o texto declara remanejamento: troca de potência ou mudança de poste, não falha.</t>
        </is>
      </c>
      <c r="AC180" s="2" t="inlineStr">
        <is>
          <t>segue nota para substituiçao de transformador queimado asseço para camionete</t>
        </is>
      </c>
      <c r="AD180" s="2" t="inlineStr">
        <is>
          <t xml:space="preserve">REMANEJAMENTO DE TRANSFORMADOR NA RDU DE FORMOSO 
INT: 20264099526652 
ESPECIFICAÇÕES DO TRANSFORMADOR 
TRANSFORMADOR INSTALADO: 15 KVA 
TRANSFORMADOR RETIRADO: 10 KVA 
MEDIÇÕES 
LOGO APÓS A TROCA  
VAN: 224 
OBS:SUBSTITUIÇÃO DE TRANSFORMADOR AUTORIZADA PELO DIONE. 
</t>
        </is>
      </c>
    </row>
    <row r="181" ht="45" customHeight="1">
      <c r="A181" s="2" t="inlineStr">
        <is>
          <t>DG-RD-PO 00295/2026</t>
        </is>
      </c>
      <c r="B181" s="2" t="inlineStr">
        <is>
          <t>mar</t>
        </is>
      </c>
      <c r="C181" s="7" t="inlineStr">
        <is>
          <t>Troca sem falha</t>
        </is>
      </c>
      <c r="D181" s="2" t="inlineStr">
        <is>
          <t>Remanejamento</t>
        </is>
      </c>
      <c r="E181" s="2" t="inlineStr">
        <is>
          <t>EXPURGO</t>
        </is>
      </c>
      <c r="F181" s="2" t="inlineStr">
        <is>
          <t>QUEIMADO</t>
        </is>
      </c>
      <c r="G181" s="2" t="inlineStr">
        <is>
          <t>esteira 1.582</t>
        </is>
      </c>
      <c r="H181" s="2" t="inlineStr">
        <is>
          <t>REMANEJAMENTO</t>
        </is>
      </c>
      <c r="I181" s="2" t="n">
        <v>5762760044</v>
      </c>
      <c r="J181" s="2" t="inlineStr">
        <is>
          <t>DG-MPPO01  000080/2026</t>
        </is>
      </c>
      <c r="K181" s="2" t="n">
        <v>312600244</v>
      </c>
      <c r="L181" s="2" t="inlineStr">
        <is>
          <t>2026-03-30 08:30</t>
        </is>
      </c>
      <c r="M181" s="2" t="inlineStr">
        <is>
          <t>2026-03-30 15:35</t>
        </is>
      </c>
      <c r="N181" s="2" t="inlineStr">
        <is>
          <t>FORMS SUBST DE TRANSFORMADOR</t>
        </is>
      </c>
      <c r="O181" s="2" t="inlineStr">
        <is>
          <t>DG-RD-PO</t>
        </is>
      </c>
      <c r="P181" s="2" t="inlineStr">
        <is>
          <t>FATIMA</t>
        </is>
      </c>
      <c r="Q181" s="2" t="inlineStr">
        <is>
          <t>SOBRECARGA PREVENTIVA</t>
        </is>
      </c>
      <c r="R181" s="2" t="inlineStr">
        <is>
          <t>NÃO IDENTIFICADO</t>
        </is>
      </c>
      <c r="S181" s="2" t="inlineStr">
        <is>
          <t>1613789</t>
        </is>
      </c>
      <c r="T181" s="2" t="n">
        <v>602371</v>
      </c>
      <c r="U181" s="2" t="inlineStr">
        <is>
          <t>sim</t>
        </is>
      </c>
      <c r="V181" s="2" t="n"/>
      <c r="W181" s="2" t="n"/>
      <c r="X181" s="2" t="n"/>
      <c r="Y181" s="2" t="n"/>
      <c r="Z181" s="4" t="inlineStr">
        <is>
          <t>não</t>
        </is>
      </c>
      <c r="AA181" s="4" t="inlineStr">
        <is>
          <t>leitura caso a caso</t>
        </is>
      </c>
      <c r="AB181" s="4" t="inlineStr">
        <is>
          <t>Fora do indicador: o texto declara remanejamento: troca de potência ou mudança de poste, não falha.</t>
        </is>
      </c>
      <c r="AC181" s="2" t="inlineStr">
        <is>
          <t>SEGUE NOTA PRA REMANEJAR TRAFO 5762760044 RETIRA TRAFO DE 150 POR UM DE 75 FOI INSTALDO DE 150 DEVIDO NO DIA DA QUEIMA NÃO TER NO TRAFO DE 75</t>
        </is>
      </c>
      <c r="AD181" s="2" t="inlineStr">
        <is>
          <t xml:space="preserve">medido_ 
emergencial_ 
remanejamento de trafo rdu fatima 
</t>
        </is>
      </c>
    </row>
    <row r="182" ht="45" customHeight="1">
      <c r="A182" s="2" t="inlineStr">
        <is>
          <t>ETO-RD-AG 00343/2026</t>
        </is>
      </c>
      <c r="B182" s="2" t="inlineStr">
        <is>
          <t>mar</t>
        </is>
      </c>
      <c r="C182" s="7" t="inlineStr">
        <is>
          <t>Troca sem falha</t>
        </is>
      </c>
      <c r="D182" s="2" t="inlineStr">
        <is>
          <t>Remanejamento</t>
        </is>
      </c>
      <c r="E182" s="2" t="inlineStr">
        <is>
          <t>EXPURGO</t>
        </is>
      </c>
      <c r="F182" s="2" t="inlineStr">
        <is>
          <t>QUEIMADO</t>
        </is>
      </c>
      <c r="G182" s="2" t="inlineStr">
        <is>
          <t>esteira 1.582</t>
        </is>
      </c>
      <c r="H182" s="2" t="inlineStr">
        <is>
          <t>REMANEJAMENTO</t>
        </is>
      </c>
      <c r="I182" s="2" t="n">
        <v>5702090039</v>
      </c>
      <c r="J182" s="2" t="inlineStr">
        <is>
          <t>ETO-RD-AG  000302/2026</t>
        </is>
      </c>
      <c r="K182" s="2" t="n">
        <v>662600212</v>
      </c>
      <c r="L182" s="2" t="inlineStr">
        <is>
          <t>2026-03-27 17:08</t>
        </is>
      </c>
      <c r="M182" s="2" t="inlineStr">
        <is>
          <t>2026-03-28 18:30</t>
        </is>
      </c>
      <c r="N182" s="2" t="inlineStr">
        <is>
          <t>SOLICITAÇÃO DE SERVIÇO</t>
        </is>
      </c>
      <c r="O182" s="2" t="inlineStr">
        <is>
          <t>ETO-RD-AG</t>
        </is>
      </c>
      <c r="P182" s="2" t="inlineStr">
        <is>
          <t>ARAGUATINS</t>
        </is>
      </c>
      <c r="Q182" s="2" t="n"/>
      <c r="R182" s="2" t="n"/>
      <c r="S182" s="2" t="inlineStr">
        <is>
          <t>18930</t>
        </is>
      </c>
      <c r="T182" s="2" t="n">
        <v>827905</v>
      </c>
      <c r="U182" s="2" t="inlineStr">
        <is>
          <t>sim</t>
        </is>
      </c>
      <c r="V182" s="2" t="n"/>
      <c r="W182" s="2" t="n"/>
      <c r="X182" s="2" t="n"/>
      <c r="Y182" s="2" t="n"/>
      <c r="Z182" s="4" t="inlineStr">
        <is>
          <t>não</t>
        </is>
      </c>
      <c r="AA182" s="4" t="inlineStr">
        <is>
          <t>leitura caso a caso</t>
        </is>
      </c>
      <c r="AB182" s="4" t="inlineStr">
        <is>
          <t>Fora do indicador: o texto declara remanejamento: troca de potência ou mudança de poste, não falha.</t>
        </is>
      </c>
      <c r="AC182" s="2" t="inlineStr">
        <is>
          <t>Enviar equipe de manutenção para REMANEJAR trafo 5702090039 - de 25KVA-19.9KV POR TRAFO DE 15KVA-19.9KV</t>
        </is>
      </c>
      <c r="AD182" s="2" t="inlineStr">
        <is>
          <t xml:space="preserve">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t>
        </is>
      </c>
    </row>
    <row r="183" ht="45" customHeight="1">
      <c r="A183" s="2" t="inlineStr">
        <is>
          <t>ETO-RD-AG 00344/2026</t>
        </is>
      </c>
      <c r="B183" s="2" t="inlineStr">
        <is>
          <t>mar</t>
        </is>
      </c>
      <c r="C183" s="7" t="inlineStr">
        <is>
          <t>Troca sem falha</t>
        </is>
      </c>
      <c r="D183" s="2" t="inlineStr">
        <is>
          <t>Remanejamento</t>
        </is>
      </c>
      <c r="E183" s="2" t="inlineStr">
        <is>
          <t>EXPURGO</t>
        </is>
      </c>
      <c r="F183" s="2" t="inlineStr">
        <is>
          <t>QUEIMADO</t>
        </is>
      </c>
      <c r="G183" s="2" t="inlineStr">
        <is>
          <t>esteira 1.582</t>
        </is>
      </c>
      <c r="H183" s="2" t="inlineStr">
        <is>
          <t>REMANEJAMENTO</t>
        </is>
      </c>
      <c r="I183" s="2" t="n">
        <v>5700002210</v>
      </c>
      <c r="J183" s="2" t="inlineStr">
        <is>
          <t>ETO-RD-AG  000303/2026</t>
        </is>
      </c>
      <c r="K183" s="2" t="n">
        <v>662600213</v>
      </c>
      <c r="L183" s="2" t="inlineStr">
        <is>
          <t>2026-03-27 17:12</t>
        </is>
      </c>
      <c r="M183" s="2" t="inlineStr">
        <is>
          <t>2026-03-29 17:15</t>
        </is>
      </c>
      <c r="N183" s="2" t="inlineStr">
        <is>
          <t>SOLICITAÇÃO DE SERVIÇO</t>
        </is>
      </c>
      <c r="O183" s="2" t="inlineStr">
        <is>
          <t>ETO-RD-AG</t>
        </is>
      </c>
      <c r="P183" s="2" t="inlineStr">
        <is>
          <t>TOCANTINOPOLIS</t>
        </is>
      </c>
      <c r="Q183" s="2" t="n"/>
      <c r="R183" s="2" t="n"/>
      <c r="S183" s="2" t="inlineStr">
        <is>
          <t>339450</t>
        </is>
      </c>
      <c r="T183" s="2" t="n">
        <v>18930</v>
      </c>
      <c r="U183" s="2" t="inlineStr">
        <is>
          <t>sim</t>
        </is>
      </c>
      <c r="V183" s="2" t="inlineStr">
        <is>
          <t>TRANSFORMADOR</t>
        </is>
      </c>
      <c r="W183" s="2" t="inlineStr">
        <is>
          <t>QUEIMADO POR DESCARGA ATMOSFERICA</t>
        </is>
      </c>
      <c r="X183" s="2" t="inlineStr">
        <is>
          <t>TRANSFORMADOR</t>
        </is>
      </c>
      <c r="Y183" s="2" t="inlineStr">
        <is>
          <t>QUEIMADO POR DESCARGA ATMOSFERICA</t>
        </is>
      </c>
      <c r="Z183" s="4" t="inlineStr">
        <is>
          <t>não</t>
        </is>
      </c>
      <c r="AA183" s="4" t="inlineStr">
        <is>
          <t>leitura caso a caso</t>
        </is>
      </c>
      <c r="AB183" s="4" t="inlineStr">
        <is>
          <t>Fora do indicador: o texto declara remanejamento: troca de potência ou mudança de poste, não falha.</t>
        </is>
      </c>
      <c r="AC183" s="2" t="inlineStr">
        <is>
          <t>Enviar equipe de manutenção para REMANEJAR trafo 5700002210 de 15KVA-19.9KV POR TRAFO DE 25KVA-19.9KV</t>
        </is>
      </c>
      <c r="AD183" s="2"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t>
        </is>
      </c>
    </row>
    <row r="184" ht="45" customHeight="1">
      <c r="A184" s="2" t="inlineStr">
        <is>
          <t>ETO-RD-AG 00389/2026</t>
        </is>
      </c>
      <c r="B184" s="2" t="inlineStr">
        <is>
          <t>abr</t>
        </is>
      </c>
      <c r="C184" s="7" t="inlineStr">
        <is>
          <t>Troca sem falha</t>
        </is>
      </c>
      <c r="D184" s="2" t="inlineStr">
        <is>
          <t>Remanejamento</t>
        </is>
      </c>
      <c r="E184" s="2" t="inlineStr">
        <is>
          <t>EXPURGO</t>
        </is>
      </c>
      <c r="F184" s="2" t="inlineStr">
        <is>
          <t>AVARIADO</t>
        </is>
      </c>
      <c r="G184" s="2" t="inlineStr">
        <is>
          <t>esteira 1.582</t>
        </is>
      </c>
      <c r="H184" s="2" t="inlineStr">
        <is>
          <t>REMANEJAMENTO</t>
        </is>
      </c>
      <c r="I184" s="2" t="n">
        <v>5700140090</v>
      </c>
      <c r="J184" s="2" t="inlineStr">
        <is>
          <t>ENC-MLAG02  000120/2026</t>
        </is>
      </c>
      <c r="K184" s="2" t="n">
        <v>662600276</v>
      </c>
      <c r="L184" s="2" t="inlineStr">
        <is>
          <t>2026-04-12 17:40</t>
        </is>
      </c>
      <c r="M184" s="2" t="inlineStr">
        <is>
          <t>2026-04-14 08:07</t>
        </is>
      </c>
      <c r="N184" s="2" t="inlineStr">
        <is>
          <t>FORMS SUBST DE TRANSFORMADOR</t>
        </is>
      </c>
      <c r="O184" s="2" t="inlineStr">
        <is>
          <t>ETO-RD-AG</t>
        </is>
      </c>
      <c r="P184" s="2" t="inlineStr">
        <is>
          <t>SANTA TEREZINHA DO TOCANTINS</t>
        </is>
      </c>
      <c r="Q184" s="2" t="n"/>
      <c r="R184" s="2" t="n"/>
      <c r="S184" s="2" t="inlineStr">
        <is>
          <t>106074</t>
        </is>
      </c>
      <c r="T184" s="2" t="n">
        <v>826189</v>
      </c>
      <c r="U184" s="2" t="inlineStr">
        <is>
          <t>sim</t>
        </is>
      </c>
      <c r="V184" s="2" t="inlineStr">
        <is>
          <t>TRANSFORMADOR</t>
        </is>
      </c>
      <c r="W184" s="2" t="inlineStr">
        <is>
          <t>QUEIMADO POR DESCARGA ATMOSFERICA</t>
        </is>
      </c>
      <c r="X184" s="2" t="inlineStr">
        <is>
          <t>TRANSFORMADOR</t>
        </is>
      </c>
      <c r="Y184" s="2" t="inlineStr">
        <is>
          <t>QUEIMADO POR DESCARGA ATMOSFERICA</t>
        </is>
      </c>
      <c r="Z184" s="4" t="inlineStr">
        <is>
          <t>não</t>
        </is>
      </c>
      <c r="AA184" s="4" t="inlineStr">
        <is>
          <t>leitura caso a caso</t>
        </is>
      </c>
      <c r="AB184" s="4" t="inlineStr">
        <is>
          <t>Fora do indicador: o texto declara remanejamento: troca de potência ou mudança de poste, não falha.</t>
        </is>
      </c>
      <c r="AC184" s="2" t="inlineStr">
        <is>
          <t>TR 5700140090TRAFO COM BUCHA SECUNDARIA NEUTRO QUEBRADA POTENCIA 5KVa TENSAO 13.8KVa FOTOS NA OSACESSO CAMINHONETE.FAZER CONTATO COM A EQUIPE DE NAZARÉ PARA ESCLARECER SOBRE O ACESSO. 63992095280.</t>
        </is>
      </c>
      <c r="AD184" s="2"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t>
        </is>
      </c>
    </row>
    <row r="185" ht="45" customHeight="1">
      <c r="A185" s="2" t="inlineStr">
        <is>
          <t>ETO-RD-AG 00526/2026</t>
        </is>
      </c>
      <c r="B185" s="2" t="inlineStr">
        <is>
          <t>mai</t>
        </is>
      </c>
      <c r="C185" s="7" t="inlineStr">
        <is>
          <t>Troca sem falha</t>
        </is>
      </c>
      <c r="D185" s="2" t="inlineStr">
        <is>
          <t>Remanejamento</t>
        </is>
      </c>
      <c r="E185" s="2" t="inlineStr">
        <is>
          <t>EXPURGO</t>
        </is>
      </c>
      <c r="F185" s="2" t="inlineStr">
        <is>
          <t>QUEIMADO</t>
        </is>
      </c>
      <c r="G185" s="2" t="inlineStr">
        <is>
          <t>esteira 1.582</t>
        </is>
      </c>
      <c r="H185" s="2" t="inlineStr">
        <is>
          <t>REMANEJAMENTO</t>
        </is>
      </c>
      <c r="I185" s="2" t="n">
        <v>5700700127</v>
      </c>
      <c r="J185" s="2" t="inlineStr">
        <is>
          <t>ETO-RD-AG  000457/2026</t>
        </is>
      </c>
      <c r="K185" s="2" t="n">
        <v>662600330</v>
      </c>
      <c r="L185" s="2" t="inlineStr">
        <is>
          <t>2026-05-21 14:11</t>
        </is>
      </c>
      <c r="M185" s="2" t="inlineStr">
        <is>
          <t>2026-05-22 23:00</t>
        </is>
      </c>
      <c r="N185" s="2" t="inlineStr">
        <is>
          <t>AVISO DE ANOMALIA</t>
        </is>
      </c>
      <c r="O185" s="2" t="inlineStr">
        <is>
          <t>ETO-RD-AG</t>
        </is>
      </c>
      <c r="P185" s="2" t="inlineStr">
        <is>
          <t>PALMEIRAS DO TOCANTINS</t>
        </is>
      </c>
      <c r="Q185" s="2" t="inlineStr">
        <is>
          <t>SOBRECARGA PREVENTIVA</t>
        </is>
      </c>
      <c r="R185" s="2" t="inlineStr">
        <is>
          <t>VAZAMENTO DE ÓLEO</t>
        </is>
      </c>
      <c r="S185" s="2" t="n"/>
      <c r="T185" s="2" t="n"/>
      <c r="U185" s="2" t="inlineStr">
        <is>
          <t>não</t>
        </is>
      </c>
      <c r="V185" s="2" t="inlineStr">
        <is>
          <t>TRANSFORMADOR</t>
        </is>
      </c>
      <c r="W185" s="2" t="inlineStr">
        <is>
          <t>VAZAMENTO DE OLEO / TANQUE DETERIORADO</t>
        </is>
      </c>
      <c r="X185" s="2" t="inlineStr">
        <is>
          <t>MEIO AMBIENTE</t>
        </is>
      </c>
      <c r="Y185" s="2" t="inlineStr">
        <is>
          <t>DESCARGA ATMOSFERICA</t>
        </is>
      </c>
      <c r="Z185" s="4" t="inlineStr">
        <is>
          <t>não</t>
        </is>
      </c>
      <c r="AA185" s="4" t="inlineStr">
        <is>
          <t>leitura caso a caso</t>
        </is>
      </c>
      <c r="AB185" s="4" t="inlineStr">
        <is>
          <t>Fora do indicador: o texto declara remanejamento: troca de potência ou mudança de poste, não falha.</t>
        </is>
      </c>
      <c r="AC185" s="2" t="inlineStr">
        <is>
          <t>Trafo 5700700127 queimado Potencia: 15 KVATensão:34,5 KVPara raio: Queimado Acesso: camioneta Equipe: 080op01 (63)99234-5515</t>
        </is>
      </c>
      <c r="AD185" s="2" t="inlineStr">
        <is>
          <t>REMANEJAR TRAFO DE 5KVA-19.9KV PARA TRAFO DE 15KVA-19.9KV 
Trafo 5700700127 queimado  
Potencia: 15 KVA 
Tensão:34,5 KV 
Para raio: Queimado  
Acesso: camioneta  
Equipe: 080op01 (63)99234-5515</t>
        </is>
      </c>
    </row>
    <row r="186" ht="45" customHeight="1">
      <c r="A186" s="2" t="inlineStr">
        <is>
          <t>ETO-RD-AG 00552/2026</t>
        </is>
      </c>
      <c r="B186" s="2" t="inlineStr">
        <is>
          <t>mai</t>
        </is>
      </c>
      <c r="C186" s="7" t="inlineStr">
        <is>
          <t>Troca sem falha</t>
        </is>
      </c>
      <c r="D186" s="2" t="inlineStr">
        <is>
          <t>Remanejamento</t>
        </is>
      </c>
      <c r="E186" s="2" t="inlineStr">
        <is>
          <t>EXPURGO</t>
        </is>
      </c>
      <c r="F186" s="2" t="inlineStr">
        <is>
          <t>AVARIADO</t>
        </is>
      </c>
      <c r="G186" s="2" t="inlineStr">
        <is>
          <t>esteira 1.582</t>
        </is>
      </c>
      <c r="H186" s="2" t="inlineStr">
        <is>
          <t>REMANEJAMENTO</t>
        </is>
      </c>
      <c r="I186" s="2" t="n">
        <v>5701602039</v>
      </c>
      <c r="J186" s="2" t="inlineStr">
        <is>
          <t>ETO-RD-AG  000462/2026</t>
        </is>
      </c>
      <c r="K186" s="2" t="n">
        <v>662600336</v>
      </c>
      <c r="L186" s="2" t="inlineStr">
        <is>
          <t>2026-05-28 16:12</t>
        </is>
      </c>
      <c r="M186" s="2" t="inlineStr">
        <is>
          <t>2026-05-28 18:27</t>
        </is>
      </c>
      <c r="N186" s="2" t="inlineStr">
        <is>
          <t>AVISO DE ANOMALIA</t>
        </is>
      </c>
      <c r="O186" s="2" t="inlineStr">
        <is>
          <t>ETO-RD-AG</t>
        </is>
      </c>
      <c r="P186" s="2" t="inlineStr">
        <is>
          <t>ARAGUATINS</t>
        </is>
      </c>
      <c r="Q186" s="2" t="inlineStr">
        <is>
          <t>SOBRECARGA PREVENTIVA</t>
        </is>
      </c>
      <c r="R186" s="2" t="n"/>
      <c r="S186" s="2" t="n"/>
      <c r="T186" s="2" t="n"/>
      <c r="U186" s="2" t="inlineStr">
        <is>
          <t>não</t>
        </is>
      </c>
      <c r="V186" s="2" t="n"/>
      <c r="W186" s="2" t="n"/>
      <c r="X186" s="2" t="n"/>
      <c r="Y186" s="2" t="n"/>
      <c r="Z186" s="4" t="inlineStr">
        <is>
          <t>não</t>
        </is>
      </c>
      <c r="AA186" s="4" t="inlineStr">
        <is>
          <t>leitura caso a caso</t>
        </is>
      </c>
      <c r="AB186" s="4" t="inlineStr">
        <is>
          <t>Fora do indicador: o texto declara remanejamento: troca de potência ou mudança de poste, não falha.</t>
        </is>
      </c>
      <c r="AC186" s="2" t="inlineStr">
        <is>
          <t>TRAFO COM VAZAMENTO DE OLEO  -5701602039ID 55048064TRAFO DE 5KVA -19.9KVZONA RURAL DE ARAGUATINS</t>
        </is>
      </c>
      <c r="AD186" s="2" t="inlineStr">
        <is>
          <t>TRAFO COM VAZAMENTO DE OLEO  -5701602039 
ID 55048064 
TRAFO DE 5KVA -19.9KV 
ZONA RURAL DE ARAGUATINS 
REMANEJAR DE TRAFO DE 5KVA POR TRAFO DE 15KVA -PLANO DE MEDIDAS</t>
        </is>
      </c>
    </row>
    <row r="187" ht="45" customHeight="1">
      <c r="A187" s="2" t="inlineStr">
        <is>
          <t>ETO-RD-AG 00569/2026</t>
        </is>
      </c>
      <c r="B187" s="2" t="inlineStr">
        <is>
          <t>jun</t>
        </is>
      </c>
      <c r="C187" s="7" t="inlineStr">
        <is>
          <t>Troca sem falha</t>
        </is>
      </c>
      <c r="D187" s="2" t="inlineStr">
        <is>
          <t>Remanejamento</t>
        </is>
      </c>
      <c r="E187" s="2" t="inlineStr">
        <is>
          <t>EXPURGO</t>
        </is>
      </c>
      <c r="F187" s="2" t="inlineStr">
        <is>
          <t>QUEIMADO</t>
        </is>
      </c>
      <c r="G187" s="2" t="inlineStr">
        <is>
          <t>esteira 1.582</t>
        </is>
      </c>
      <c r="H187" s="2" t="inlineStr">
        <is>
          <t>REMANEJAMENTO</t>
        </is>
      </c>
      <c r="I187" s="2" t="n">
        <v>5700041132</v>
      </c>
      <c r="J187" s="2" t="inlineStr">
        <is>
          <t>ETO-RD-AG  000480/2026</t>
        </is>
      </c>
      <c r="K187" s="2" t="n">
        <v>662600346</v>
      </c>
      <c r="L187" s="2" t="inlineStr">
        <is>
          <t>2026-06-02 19:17</t>
        </is>
      </c>
      <c r="M187" s="2" t="inlineStr">
        <is>
          <t>2026-06-03 16:31</t>
        </is>
      </c>
      <c r="N187" s="2" t="inlineStr">
        <is>
          <t>AVISO DE ANOMALIA</t>
        </is>
      </c>
      <c r="O187" s="2" t="inlineStr">
        <is>
          <t>ETO-RD-AG</t>
        </is>
      </c>
      <c r="P187" s="2" t="inlineStr">
        <is>
          <t>SAMPAIO</t>
        </is>
      </c>
      <c r="Q187" s="2" t="inlineStr">
        <is>
          <t>SOBRECARGA PREVENTIVA</t>
        </is>
      </c>
      <c r="R187" s="2" t="inlineStr">
        <is>
          <t>NÃO IDENTIFICADO</t>
        </is>
      </c>
      <c r="S187" s="2" t="n"/>
      <c r="T187" s="2" t="n"/>
      <c r="U187" s="2" t="inlineStr">
        <is>
          <t>não</t>
        </is>
      </c>
      <c r="V187" s="2" t="inlineStr">
        <is>
          <t>TRANSFORMADOR</t>
        </is>
      </c>
      <c r="W187" s="2" t="inlineStr">
        <is>
          <t>QUEIMADO POR DESCARGA ATMOSFERICA</t>
        </is>
      </c>
      <c r="X187" s="2" t="inlineStr">
        <is>
          <t>TRANSFORMADOR</t>
        </is>
      </c>
      <c r="Y187" s="2" t="inlineStr">
        <is>
          <t>QUEIMADO POR DESCARGA ATMOSFERICA</t>
        </is>
      </c>
      <c r="Z187" s="4" t="inlineStr">
        <is>
          <t>não</t>
        </is>
      </c>
      <c r="AA187" s="4" t="inlineStr">
        <is>
          <t>leitura caso a caso</t>
        </is>
      </c>
      <c r="AB187" s="4" t="inlineStr">
        <is>
          <t>Fora do indicador: o texto declara remanejamento: troca de potência ou mudança de poste, não falha.</t>
        </is>
      </c>
      <c r="AC187" s="2"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D187" s="2" t="inlineStr">
        <is>
          <t>PLANO DE MEDIDA - REMANEJAR TRAFO DE 5KVA-34.KV POR TRAFO DE 15KVA-34.5KV - DIRECIONAR PARA O PROJETO 25983.</t>
        </is>
      </c>
    </row>
    <row r="188" ht="45" customHeight="1">
      <c r="A188" s="2" t="inlineStr">
        <is>
          <t>ETO-RD-AG 00582/2026</t>
        </is>
      </c>
      <c r="B188" s="2" t="inlineStr">
        <is>
          <t>jun</t>
        </is>
      </c>
      <c r="C188" s="7" t="inlineStr">
        <is>
          <t>Troca sem falha</t>
        </is>
      </c>
      <c r="D188" s="2" t="inlineStr">
        <is>
          <t>Remanejamento</t>
        </is>
      </c>
      <c r="E188" s="2" t="inlineStr">
        <is>
          <t>EXPURGO</t>
        </is>
      </c>
      <c r="F188" s="2" t="inlineStr">
        <is>
          <t>AVARIADO</t>
        </is>
      </c>
      <c r="G188" s="2" t="inlineStr">
        <is>
          <t>esteira 1.582</t>
        </is>
      </c>
      <c r="H188" s="2" t="inlineStr">
        <is>
          <t>REMANEJAMENTO</t>
        </is>
      </c>
      <c r="I188" s="2" t="n">
        <v>5700114081</v>
      </c>
      <c r="J188" s="2" t="inlineStr">
        <is>
          <t>ETO-RD-AG  000490/2026</t>
        </is>
      </c>
      <c r="K188" s="2" t="n">
        <v>662600363</v>
      </c>
      <c r="L188" s="2" t="inlineStr">
        <is>
          <t>2026-06-10 09:22</t>
        </is>
      </c>
      <c r="M188" s="2" t="inlineStr">
        <is>
          <t>2026-06-10 22:18</t>
        </is>
      </c>
      <c r="N188" s="2" t="inlineStr">
        <is>
          <t>AVISO DE ANOMALIA</t>
        </is>
      </c>
      <c r="O188" s="2" t="inlineStr">
        <is>
          <t>ETO-RD-AG</t>
        </is>
      </c>
      <c r="P188" s="2" t="inlineStr">
        <is>
          <t>ITAGUATINS</t>
        </is>
      </c>
      <c r="Q188" s="2" t="inlineStr">
        <is>
          <t>SOBRECARGA PREVENTIVA</t>
        </is>
      </c>
      <c r="R188" s="2" t="inlineStr">
        <is>
          <t>BUCHA DANIFICADA</t>
        </is>
      </c>
      <c r="S188" s="2" t="n"/>
      <c r="T188" s="2" t="n"/>
      <c r="U188" s="2" t="inlineStr">
        <is>
          <t>não</t>
        </is>
      </c>
      <c r="V188" s="2" t="inlineStr">
        <is>
          <t>TRANSFORMADOR</t>
        </is>
      </c>
      <c r="W188" s="2" t="inlineStr">
        <is>
          <t>VAZAMENTO DE OLEO / TANQUE DETERIORADO</t>
        </is>
      </c>
      <c r="X188" s="2" t="inlineStr">
        <is>
          <t>TRANSFORMADOR</t>
        </is>
      </c>
      <c r="Y188" s="2" t="inlineStr">
        <is>
          <t>VAZAMENTO DE OLEO / TANQUE DETERIORADO</t>
        </is>
      </c>
      <c r="Z188" s="4" t="inlineStr">
        <is>
          <t>não</t>
        </is>
      </c>
      <c r="AA188" s="4" t="inlineStr">
        <is>
          <t>leitura caso a caso</t>
        </is>
      </c>
      <c r="AB188" s="4" t="inlineStr">
        <is>
          <t>Fora do indicador: o texto declara remanejamento: troca de potência ou mudança de poste, não falha.</t>
        </is>
      </c>
      <c r="AC188" s="2" t="inlineStr">
        <is>
          <t>Sergue SS para substituição de TRafo bucha segudaria danificada</t>
        </is>
      </c>
      <c r="AD188" s="2" t="inlineStr">
        <is>
          <t>PLANO DE MEDIDA - REMANEJAR TRAFO DE 10KVA-13.8KV POR TRAFO DE 15KVA-13.8KV - DIRECIONAR PARA O PROJETO 25983.</t>
        </is>
      </c>
    </row>
    <row r="189" ht="45" customHeight="1">
      <c r="A189" s="2" t="inlineStr">
        <is>
          <t>ETO-RD-AG 00585/2026</t>
        </is>
      </c>
      <c r="B189" s="2" t="inlineStr">
        <is>
          <t>jun</t>
        </is>
      </c>
      <c r="C189" s="7" t="inlineStr">
        <is>
          <t>Troca sem falha</t>
        </is>
      </c>
      <c r="D189" s="2" t="inlineStr">
        <is>
          <t>Remanejamento</t>
        </is>
      </c>
      <c r="E189" s="2" t="inlineStr">
        <is>
          <t>EXPURGO</t>
        </is>
      </c>
      <c r="F189" s="2" t="inlineStr">
        <is>
          <t>QUEIMADO</t>
        </is>
      </c>
      <c r="G189" s="2" t="inlineStr">
        <is>
          <t>esteira 1.582</t>
        </is>
      </c>
      <c r="H189" s="2" t="inlineStr">
        <is>
          <t>REMANEJAMENTO</t>
        </is>
      </c>
      <c r="I189" s="2" t="n">
        <v>5710037039</v>
      </c>
      <c r="J189" s="2" t="inlineStr">
        <is>
          <t>ETO-RD-AG  000491/2026</t>
        </is>
      </c>
      <c r="K189" s="2" t="n">
        <v>662600370</v>
      </c>
      <c r="L189" s="2" t="inlineStr">
        <is>
          <t>2026-06-11 08:40</t>
        </is>
      </c>
      <c r="M189" s="2" t="inlineStr">
        <is>
          <t>2026-06-11 20:33</t>
        </is>
      </c>
      <c r="N189" s="2" t="inlineStr">
        <is>
          <t>AVISO DE ANOMALIA</t>
        </is>
      </c>
      <c r="O189" s="2" t="inlineStr">
        <is>
          <t>ETO-RD-AG</t>
        </is>
      </c>
      <c r="P189" s="2" t="inlineStr">
        <is>
          <t>ARAGUATINS</t>
        </is>
      </c>
      <c r="Q189" s="2" t="inlineStr">
        <is>
          <t>SOBRECARGA PREVENTIVA</t>
        </is>
      </c>
      <c r="R189" s="2" t="inlineStr">
        <is>
          <t>NÃO IDENTIFICADO</t>
        </is>
      </c>
      <c r="S189" s="2" t="n"/>
      <c r="T189" s="2" t="n"/>
      <c r="U189" s="2" t="inlineStr">
        <is>
          <t>não</t>
        </is>
      </c>
      <c r="V189" s="2" t="inlineStr">
        <is>
          <t>TRANSFORMADOR</t>
        </is>
      </c>
      <c r="W189" s="2" t="inlineStr">
        <is>
          <t>SOBRETENSAO</t>
        </is>
      </c>
      <c r="X189" s="2" t="n"/>
      <c r="Y189" s="2" t="n"/>
      <c r="Z189" s="4" t="inlineStr">
        <is>
          <t>não</t>
        </is>
      </c>
      <c r="AA189" s="4" t="inlineStr">
        <is>
          <t>leitura caso a caso</t>
        </is>
      </c>
      <c r="AB189" s="4" t="inlineStr">
        <is>
          <t>Fora do indicador: o texto declara remanejamento: troca de potência ou mudança de poste, não falha.</t>
        </is>
      </c>
      <c r="AC189" s="2" t="inlineStr">
        <is>
          <t>trafo queimado 5710037039 - 15KVA - 34,5KV + para raio queimado - acesso livre chave do trafo com porcelana quebrada. RDR Araguatins sentido Axixa. fazenda Bacuri - cleinte MArco Aureli Andrade Barbosa. - UC 170575-5</t>
        </is>
      </c>
      <c r="AD189" s="2"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90" ht="45" customHeight="1">
      <c r="A190" s="2" t="inlineStr">
        <is>
          <t>ETO-RD-AG 00635/2026</t>
        </is>
      </c>
      <c r="B190" s="2" t="inlineStr">
        <is>
          <t>jun</t>
        </is>
      </c>
      <c r="C190" s="7" t="inlineStr">
        <is>
          <t>Troca sem falha</t>
        </is>
      </c>
      <c r="D190" s="2" t="inlineStr">
        <is>
          <t>Remanejamento</t>
        </is>
      </c>
      <c r="E190" s="2" t="inlineStr">
        <is>
          <t>EXPURGO</t>
        </is>
      </c>
      <c r="F190" s="2" t="inlineStr">
        <is>
          <t>QUEIMADO</t>
        </is>
      </c>
      <c r="G190" s="2" t="inlineStr">
        <is>
          <t>esteira 1.582</t>
        </is>
      </c>
      <c r="H190" s="2" t="inlineStr">
        <is>
          <t>REMANEJAMENTO</t>
        </is>
      </c>
      <c r="I190" s="2" t="n">
        <v>5700269132</v>
      </c>
      <c r="J190" s="2" t="inlineStr">
        <is>
          <t>ENC-MLAG01  000167/2026</t>
        </is>
      </c>
      <c r="K190" s="2" t="n">
        <v>662600406</v>
      </c>
      <c r="L190" s="2" t="inlineStr">
        <is>
          <t>2026-06-25 16:42</t>
        </is>
      </c>
      <c r="M190" s="2" t="inlineStr">
        <is>
          <t>2026-06-26 23:19</t>
        </is>
      </c>
      <c r="N190" s="2" t="inlineStr">
        <is>
          <t>SOLICITAÇÃO DE SERVIÇO</t>
        </is>
      </c>
      <c r="O190" s="2" t="inlineStr">
        <is>
          <t>ETO-RD-AG</t>
        </is>
      </c>
      <c r="P190" s="2" t="inlineStr">
        <is>
          <t>SAMPAIO</t>
        </is>
      </c>
      <c r="Q190" s="2" t="n"/>
      <c r="R190" s="2" t="n"/>
      <c r="S190" s="2" t="inlineStr">
        <is>
          <t>496858</t>
        </is>
      </c>
      <c r="T190" s="2" t="n">
        <v>836210</v>
      </c>
      <c r="U190" s="2" t="inlineStr">
        <is>
          <t>sim</t>
        </is>
      </c>
      <c r="V190" s="2" t="n"/>
      <c r="W190" s="2" t="n"/>
      <c r="X190" s="2" t="n"/>
      <c r="Y190" s="2" t="n"/>
      <c r="Z190" s="4" t="inlineStr">
        <is>
          <t>não</t>
        </is>
      </c>
      <c r="AA190" s="4" t="inlineStr">
        <is>
          <t>leitura caso a caso</t>
        </is>
      </c>
      <c r="AB190" s="4" t="inlineStr">
        <is>
          <t>Fora do indicador: o texto declara remanejamento: troca de potência ou mudança de poste, não falha.</t>
        </is>
      </c>
      <c r="AC190" s="2" t="inlineStr">
        <is>
          <t>Enviar equipe de manutenção para REMANEJAR trafo 5700269132 - de 25KVA-19.9KV POR TRAFO DE 15KVA-19.9KV</t>
        </is>
      </c>
      <c r="AD190" s="2"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91" ht="165" customHeight="1">
      <c r="A191" s="2" t="inlineStr">
        <is>
          <t>ETO-RD-AG 00729/2026</t>
        </is>
      </c>
      <c r="B191" s="2" t="inlineStr">
        <is>
          <t>jul</t>
        </is>
      </c>
      <c r="C191" s="7" t="inlineStr">
        <is>
          <t>Troca sem falha</t>
        </is>
      </c>
      <c r="D191" s="2" t="inlineStr">
        <is>
          <t>Remanejamento</t>
        </is>
      </c>
      <c r="E191" s="2" t="inlineStr">
        <is>
          <t>EXPURGO</t>
        </is>
      </c>
      <c r="F191" s="2" t="inlineStr">
        <is>
          <t>AVARIADO</t>
        </is>
      </c>
      <c r="G191" s="2" t="inlineStr">
        <is>
          <t>leitura do texto (jan–ago)</t>
        </is>
      </c>
      <c r="H191" s="2" t="inlineStr">
        <is>
          <t>REMANEJAMENTO</t>
        </is>
      </c>
      <c r="I191" s="2" t="n">
        <v>5712592130</v>
      </c>
      <c r="J191" s="2" t="inlineStr">
        <is>
          <t>ENC-MPAG01  000347/2026</t>
        </is>
      </c>
      <c r="K191" s="2" t="n"/>
      <c r="L191" s="2" t="inlineStr">
        <is>
          <t>2026-07-16 16:20</t>
        </is>
      </c>
      <c r="M191" s="2" t="inlineStr">
        <is>
          <t>2026-08-07 13:13</t>
        </is>
      </c>
      <c r="N191" s="2" t="inlineStr">
        <is>
          <t>AVISO DE ANOMALIA</t>
        </is>
      </c>
      <c r="O191" s="2" t="inlineStr">
        <is>
          <t>ETO-RD-AG</t>
        </is>
      </c>
      <c r="P191" s="2" t="inlineStr">
        <is>
          <t>SAO MIGUEL DO TOCANTINS</t>
        </is>
      </c>
      <c r="Q191" s="2" t="inlineStr">
        <is>
          <t>CABOS BT</t>
        </is>
      </c>
      <c r="R191" s="2" t="inlineStr">
        <is>
          <t>DETERIORADA</t>
        </is>
      </c>
      <c r="S191" s="2" t="inlineStr">
        <is>
          <t>124522</t>
        </is>
      </c>
      <c r="T191" s="2" t="n">
        <v>457685</v>
      </c>
      <c r="U191" s="2" t="inlineStr">
        <is>
          <t>sim</t>
        </is>
      </c>
      <c r="V191" s="2" t="n"/>
      <c r="W191" s="2" t="n"/>
      <c r="X191" s="2" t="n"/>
      <c r="Y191" s="2" t="n"/>
      <c r="Z191" s="4" t="inlineStr">
        <is>
          <t>não</t>
        </is>
      </c>
      <c r="AA191" s="4" t="inlineStr">
        <is>
          <t>leitura caso a caso</t>
        </is>
      </c>
      <c r="AB191" s="4"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c r="AC191" s="2"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AD191" s="2" t="n"/>
    </row>
    <row r="192" ht="120" customHeight="1">
      <c r="A192" s="2" t="inlineStr">
        <is>
          <t>ETO-RD-AG 00924/2026</t>
        </is>
      </c>
      <c r="B192" s="2" t="inlineStr">
        <is>
          <t>ago</t>
        </is>
      </c>
      <c r="C192" s="7" t="inlineStr">
        <is>
          <t>Troca sem falha</t>
        </is>
      </c>
      <c r="D192" s="2" t="inlineStr">
        <is>
          <t>Remanejamento</t>
        </is>
      </c>
      <c r="E192" s="2" t="inlineStr">
        <is>
          <t>EXPURGO</t>
        </is>
      </c>
      <c r="F192" s="2" t="inlineStr">
        <is>
          <t>PREVENTIVO</t>
        </is>
      </c>
      <c r="G192" s="2" t="inlineStr">
        <is>
          <t>leitura do texto (jan–ago)</t>
        </is>
      </c>
      <c r="H192" s="2" t="inlineStr">
        <is>
          <t>REMANEJAMENTO</t>
        </is>
      </c>
      <c r="I192" s="2" t="n">
        <v>5700558081</v>
      </c>
      <c r="J192" s="2" t="inlineStr">
        <is>
          <t>ETO-RD-AG  000882/2026</t>
        </is>
      </c>
      <c r="K192" s="2" t="n">
        <v>662600558</v>
      </c>
      <c r="L192" s="2" t="inlineStr">
        <is>
          <t>2026-08-29 13:40</t>
        </is>
      </c>
      <c r="M192" s="2" t="inlineStr">
        <is>
          <t>2026-08-29 19:06</t>
        </is>
      </c>
      <c r="N192" s="2" t="inlineStr">
        <is>
          <t>AVISO DE ANOMALIA</t>
        </is>
      </c>
      <c r="O192" s="2" t="inlineStr">
        <is>
          <t>ETO-RD-AG</t>
        </is>
      </c>
      <c r="P192" s="2" t="inlineStr">
        <is>
          <t>ITAGUATINS</t>
        </is>
      </c>
      <c r="Q192" s="2" t="inlineStr">
        <is>
          <t>SOBRECARGA PREVENTIVA</t>
        </is>
      </c>
      <c r="R192" s="2" t="inlineStr">
        <is>
          <t>SOBRECARGA</t>
        </is>
      </c>
      <c r="S192" s="2" t="inlineStr">
        <is>
          <t>260954</t>
        </is>
      </c>
      <c r="T192" s="2" t="n">
        <v>577013</v>
      </c>
      <c r="U192" s="2" t="inlineStr">
        <is>
          <t>sim</t>
        </is>
      </c>
      <c r="V192" s="2" t="inlineStr">
        <is>
          <t>CONDUTOR DE BT</t>
        </is>
      </c>
      <c r="W192" s="2" t="inlineStr">
        <is>
          <t>PARTIDO NO NEUTRO</t>
        </is>
      </c>
      <c r="X192" s="2" t="n"/>
      <c r="Y192" s="2" t="n"/>
      <c r="Z192" s="4" t="inlineStr">
        <is>
          <t>não</t>
        </is>
      </c>
      <c r="AA192" s="4" t="inlineStr">
        <is>
          <t>leitura caso a caso</t>
        </is>
      </c>
      <c r="AB192" s="4"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c r="AC192" s="2" t="inlineStr">
        <is>
          <t>SEGUE SS PARA SUSBTITUIR TRAFO E EXECUTAR MELHORIA DE ATERRAMENTO</t>
        </is>
      </c>
      <c r="AD192" s="2"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t>
        </is>
      </c>
    </row>
    <row r="193" ht="105" customHeight="1">
      <c r="A193" s="2" t="inlineStr">
        <is>
          <t>ETO-RD-AR 01288/2026</t>
        </is>
      </c>
      <c r="B193" s="2" t="inlineStr">
        <is>
          <t>ago</t>
        </is>
      </c>
      <c r="C193" s="7" t="inlineStr">
        <is>
          <t>Troca sem falha</t>
        </is>
      </c>
      <c r="D193" s="2" t="inlineStr">
        <is>
          <t>Remanejamento</t>
        </is>
      </c>
      <c r="E193" s="2" t="inlineStr">
        <is>
          <t>EXPURGO</t>
        </is>
      </c>
      <c r="F193" s="2" t="inlineStr">
        <is>
          <t>PREVENTIVO</t>
        </is>
      </c>
      <c r="G193" s="2" t="inlineStr">
        <is>
          <t>leitura do texto (jan–ago)</t>
        </is>
      </c>
      <c r="H193" s="2" t="inlineStr">
        <is>
          <t>REMANEJAMENTO</t>
        </is>
      </c>
      <c r="I193" s="2" t="n">
        <v>5704180004</v>
      </c>
      <c r="J193" s="2" t="inlineStr">
        <is>
          <t>ENC-MLAR03  000130/2026</t>
        </is>
      </c>
      <c r="K193" s="2" t="n">
        <v>612600827</v>
      </c>
      <c r="L193" s="2" t="inlineStr">
        <is>
          <t>2026-08-23 11:52</t>
        </is>
      </c>
      <c r="M193" s="2" t="inlineStr">
        <is>
          <t>2026-08-23 17:50</t>
        </is>
      </c>
      <c r="N193" s="2" t="inlineStr">
        <is>
          <t>AVISO DE ANOMALIA</t>
        </is>
      </c>
      <c r="O193" s="2" t="inlineStr">
        <is>
          <t>ETO-RD-AR</t>
        </is>
      </c>
      <c r="P193" s="2" t="inlineStr">
        <is>
          <t>ARAGUAINA</t>
        </is>
      </c>
      <c r="Q193" s="2" t="inlineStr">
        <is>
          <t>SOBRECARGA PREVENTIVA</t>
        </is>
      </c>
      <c r="R193" s="2" t="inlineStr">
        <is>
          <t>SOBRECARGA</t>
        </is>
      </c>
      <c r="S193" s="2" t="inlineStr">
        <is>
          <t>201094</t>
        </is>
      </c>
      <c r="T193" s="2" t="n">
        <v>973689</v>
      </c>
      <c r="U193" s="2" t="inlineStr">
        <is>
          <t>sim</t>
        </is>
      </c>
      <c r="V193" s="2" t="inlineStr">
        <is>
          <t>TRANSFORMADOR</t>
        </is>
      </c>
      <c r="W193" s="2" t="inlineStr">
        <is>
          <t>SOBRECARGA</t>
        </is>
      </c>
      <c r="X193" s="2" t="inlineStr">
        <is>
          <t>TRANSFORMADOR</t>
        </is>
      </c>
      <c r="Y193" s="2" t="inlineStr">
        <is>
          <t>SOBRECARGA</t>
        </is>
      </c>
      <c r="Z193" s="4" t="inlineStr">
        <is>
          <t>não</t>
        </is>
      </c>
      <c r="AA193" s="4" t="inlineStr">
        <is>
          <t>leitura caso a caso</t>
        </is>
      </c>
      <c r="AB193" s="4"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c r="AC193" s="2"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AD193" s="2" t="inlineStr">
        <is>
          <t xml:space="preserve">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 
</t>
        </is>
      </c>
    </row>
    <row r="194" ht="75" customHeight="1">
      <c r="A194" s="2" t="inlineStr">
        <is>
          <t>ETO-RD-AG 00035/2026</t>
        </is>
      </c>
      <c r="B194" s="2" t="inlineStr">
        <is>
          <t>jan</t>
        </is>
      </c>
      <c r="C194" s="7" t="inlineStr">
        <is>
          <t>Troca sem falha</t>
        </is>
      </c>
      <c r="D194" s="2" t="inlineStr">
        <is>
          <t>Tape / tensão</t>
        </is>
      </c>
      <c r="E194" s="2" t="inlineStr">
        <is>
          <t>EXPURGO</t>
        </is>
      </c>
      <c r="F194" s="2" t="inlineStr">
        <is>
          <t>AVARIADO</t>
        </is>
      </c>
      <c r="G194" s="2" t="inlineStr">
        <is>
          <t>esteira 1.582</t>
        </is>
      </c>
      <c r="H194" s="2" t="inlineStr">
        <is>
          <t>TAPE/REGULARIZAÇÃO DE TENSÃO</t>
        </is>
      </c>
      <c r="I194" s="2" t="n">
        <v>5301105039</v>
      </c>
      <c r="J194" s="2" t="inlineStr">
        <is>
          <t>ENC-MPAG02  000238/2025</t>
        </is>
      </c>
      <c r="K194" s="2" t="n">
        <v>662600037</v>
      </c>
      <c r="L194" s="2" t="inlineStr">
        <is>
          <t>2026-01-10 18:11</t>
        </is>
      </c>
      <c r="M194" s="2" t="inlineStr">
        <is>
          <t>2026-01-10 23:55</t>
        </is>
      </c>
      <c r="N194" s="2" t="inlineStr">
        <is>
          <t>FORMS SUBST DE TRANSFORMADOR</t>
        </is>
      </c>
      <c r="O194" s="2" t="inlineStr">
        <is>
          <t>ETO-RD-AG</t>
        </is>
      </c>
      <c r="P194" s="2" t="inlineStr">
        <is>
          <t>ARAGUATINS</t>
        </is>
      </c>
      <c r="Q194" s="2" t="inlineStr">
        <is>
          <t>QUEIMADO</t>
        </is>
      </c>
      <c r="R194" s="2" t="inlineStr">
        <is>
          <t>NÃO IDENTIFICADO</t>
        </is>
      </c>
      <c r="S194" s="2" t="inlineStr">
        <is>
          <t>Z.249939</t>
        </is>
      </c>
      <c r="T194" s="2" t="n">
        <v>275765</v>
      </c>
      <c r="U194" s="2" t="inlineStr">
        <is>
          <t>sim</t>
        </is>
      </c>
      <c r="V194" s="2" t="inlineStr">
        <is>
          <t>DESLIGAMENTO SEM PROGRAMACAO PREVIA</t>
        </is>
      </c>
      <c r="W194" s="2" t="inlineStr">
        <is>
          <t>RD DE BT</t>
        </is>
      </c>
      <c r="X194" s="2" t="n"/>
      <c r="Y194" s="2" t="n"/>
      <c r="Z194" s="4" t="inlineStr">
        <is>
          <t>não</t>
        </is>
      </c>
      <c r="AA194" s="4" t="inlineStr">
        <is>
          <t>leitura caso a caso</t>
        </is>
      </c>
      <c r="AB194" s="4" t="inlineStr">
        <is>
          <t>Fora do indicador: o texto descreve tensão baixa que não sobe nem mexendo no tape — o transformador não dá conta da tensão pedida, e isso é nível de tensão, não falha do equipamento.</t>
        </is>
      </c>
      <c r="AC194" s="2" t="inlineStr">
        <is>
          <t>Segue nota para envia equipe manutenção substituir Trafo 5301105039 de 25kva avariado em campo problemas de tensão baixa, Obs. Não esta aumentando tensão mesmo alterando TAP, Tensão 19,9kv, Acesso livre, Rural de Araguatins, Chac. Porto do Céu.</t>
        </is>
      </c>
      <c r="AD194" s="2" t="inlineStr">
        <is>
          <t xml:space="preserve">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t>
        </is>
      </c>
    </row>
    <row r="195" ht="60" customHeight="1">
      <c r="A195" s="2" t="inlineStr">
        <is>
          <t>DOLP-RD-PA 00294/2026</t>
        </is>
      </c>
      <c r="B195" s="2" t="inlineStr">
        <is>
          <t>fev</t>
        </is>
      </c>
      <c r="C195" s="7" t="inlineStr">
        <is>
          <t>Troca sem falha</t>
        </is>
      </c>
      <c r="D195" s="2" t="inlineStr">
        <is>
          <t>Tape / tensão</t>
        </is>
      </c>
      <c r="E195" s="2" t="inlineStr">
        <is>
          <t>EXPURGO</t>
        </is>
      </c>
      <c r="F195" s="2" t="inlineStr">
        <is>
          <t>AVARIADO</t>
        </is>
      </c>
      <c r="G195" s="2" t="inlineStr">
        <is>
          <t>esteira 1.582</t>
        </is>
      </c>
      <c r="H195" s="2" t="inlineStr">
        <is>
          <t>TAPE/REGULARIZAÇÃO DE TENSÃO</t>
        </is>
      </c>
      <c r="I195" s="2" t="n">
        <v>5703857001</v>
      </c>
      <c r="J195" s="2" t="inlineStr">
        <is>
          <t>DLP-MLPA03  000016/2026</t>
        </is>
      </c>
      <c r="K195" s="2" t="n">
        <v>112600317</v>
      </c>
      <c r="L195" s="2" t="inlineStr">
        <is>
          <t>2026-02-25 21:53</t>
        </is>
      </c>
      <c r="M195" s="2" t="inlineStr">
        <is>
          <t>2026-02-26 19:48</t>
        </is>
      </c>
      <c r="N195" s="2" t="inlineStr">
        <is>
          <t>FORMS SUBST DE TRANSFORMADOR</t>
        </is>
      </c>
      <c r="O195" s="2" t="inlineStr">
        <is>
          <t>DOLP-RD-PA</t>
        </is>
      </c>
      <c r="P195" s="2" t="inlineStr">
        <is>
          <t>PORTO NACIONAL</t>
        </is>
      </c>
      <c r="Q195" s="2" t="inlineStr">
        <is>
          <t>AVARIADO</t>
        </is>
      </c>
      <c r="R195" s="2" t="inlineStr">
        <is>
          <t>BUCHA DANIFICADA</t>
        </is>
      </c>
      <c r="S195" s="2" t="inlineStr">
        <is>
          <t>369871</t>
        </is>
      </c>
      <c r="T195" s="2" t="n">
        <v>267044</v>
      </c>
      <c r="U195" s="2" t="inlineStr">
        <is>
          <t>sim</t>
        </is>
      </c>
      <c r="V195" s="2" t="n"/>
      <c r="W195" s="2" t="n"/>
      <c r="X195" s="2" t="n"/>
      <c r="Y195" s="2" t="n"/>
      <c r="Z195" s="4" t="inlineStr">
        <is>
          <t>não</t>
        </is>
      </c>
      <c r="AA195" s="4" t="inlineStr">
        <is>
          <t>leitura caso a caso</t>
        </is>
      </c>
      <c r="AB195" s="4" t="inlineStr">
        <is>
          <t>Fora do indicador: o transformador foi trocado para regularizar tensão porque o tape é interno e não pode ser ajustado em campo — não houve falha.</t>
        </is>
      </c>
      <c r="AC195" s="2" t="inlineStr">
        <is>
          <t>TRAFO 5703857001 com tensão baixa. TAP Interno. Potência: 15 KVATensão: 13,8 KVAcesso: Livre.</t>
        </is>
      </c>
      <c r="AD195" s="2"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t>
        </is>
      </c>
    </row>
    <row r="196" ht="60" customHeight="1">
      <c r="A196" s="2" t="inlineStr">
        <is>
          <t>DG-RD-PO 00226/2026</t>
        </is>
      </c>
      <c r="B196" s="2" t="inlineStr">
        <is>
          <t>mar</t>
        </is>
      </c>
      <c r="C196" s="7" t="inlineStr">
        <is>
          <t>Troca sem falha</t>
        </is>
      </c>
      <c r="D196" s="2" t="inlineStr">
        <is>
          <t>Tape / tensão</t>
        </is>
      </c>
      <c r="E196" s="2" t="inlineStr">
        <is>
          <t>EXPURGO</t>
        </is>
      </c>
      <c r="F196" s="2" t="inlineStr">
        <is>
          <t>QUEIMADO</t>
        </is>
      </c>
      <c r="G196" s="2" t="inlineStr">
        <is>
          <t>esteira 1.582</t>
        </is>
      </c>
      <c r="H196" s="2" t="inlineStr">
        <is>
          <t>TAPE/REGULARIZAÇÃO DE TENSÃO</t>
        </is>
      </c>
      <c r="I196" s="2" t="n">
        <v>5710205026</v>
      </c>
      <c r="J196" s="2" t="inlineStr">
        <is>
          <t>DG-MLPO02  000047/2026</t>
        </is>
      </c>
      <c r="K196" s="2" t="n">
        <v>312600178</v>
      </c>
      <c r="L196" s="2" t="inlineStr">
        <is>
          <t>2026-03-01 15:49</t>
        </is>
      </c>
      <c r="M196" s="2" t="inlineStr">
        <is>
          <t>2026-03-02 16:12</t>
        </is>
      </c>
      <c r="N196" s="2" t="inlineStr">
        <is>
          <t>FORMS SUBST DE TRANSFORMADOR</t>
        </is>
      </c>
      <c r="O196" s="2" t="inlineStr">
        <is>
          <t>DG-RD-PO</t>
        </is>
      </c>
      <c r="P196" s="2" t="inlineStr">
        <is>
          <t>PONTE ALTA DO TOCANTINS</t>
        </is>
      </c>
      <c r="Q196" s="2" t="inlineStr">
        <is>
          <t>AVARIADO</t>
        </is>
      </c>
      <c r="R196" s="2" t="inlineStr">
        <is>
          <t>NÃO IDENTIFICADO</t>
        </is>
      </c>
      <c r="S196" s="2" t="inlineStr">
        <is>
          <t>304388</t>
        </is>
      </c>
      <c r="T196" s="2" t="n">
        <v>827871</v>
      </c>
      <c r="U196" s="2" t="inlineStr">
        <is>
          <t>sim</t>
        </is>
      </c>
      <c r="V196" s="2" t="n"/>
      <c r="W196" s="2" t="n"/>
      <c r="X196" s="2" t="n"/>
      <c r="Y196" s="2" t="n"/>
      <c r="Z196" s="4" t="inlineStr">
        <is>
          <t>SIM</t>
        </is>
      </c>
      <c r="AA196" s="4" t="inlineStr">
        <is>
          <t>leitura caso a caso</t>
        </is>
      </c>
      <c r="AB196" s="4" t="inlineStr">
        <is>
          <t>Fora do indicador: o transformador foi trocado para regularizar tensão porque o tape é interno e não pode ser ajustado em campo — não houve falha.</t>
        </is>
      </c>
      <c r="AC196" s="2" t="inlineStr">
        <is>
          <t>Trafo 5710205026 com tensao de saida alta, e mao tem como baixar o Tap devido o mesmo ser interno244V, 15 Kva 19,9 Kv, acesso patra camionete</t>
        </is>
      </c>
      <c r="AD196" s="2" t="inlineStr">
        <is>
          <t xml:space="preserve">medido_ 
emergencial_ 
substituição de trafo tap interno rdr ponte alta 
</t>
        </is>
      </c>
    </row>
    <row r="197" ht="75" customHeight="1">
      <c r="A197" s="2" t="inlineStr">
        <is>
          <t>DOLP-RD-PA 00471/2026</t>
        </is>
      </c>
      <c r="B197" s="2" t="inlineStr">
        <is>
          <t>abr</t>
        </is>
      </c>
      <c r="C197" s="7" t="inlineStr">
        <is>
          <t>Troca sem falha</t>
        </is>
      </c>
      <c r="D197" s="2" t="inlineStr">
        <is>
          <t>Tape / tensão</t>
        </is>
      </c>
      <c r="E197" s="2" t="inlineStr">
        <is>
          <t>EXPURGO</t>
        </is>
      </c>
      <c r="F197" s="2" t="inlineStr">
        <is>
          <t>AVARIADO</t>
        </is>
      </c>
      <c r="G197" s="2" t="inlineStr">
        <is>
          <t>esteira 1.582</t>
        </is>
      </c>
      <c r="H197" s="2" t="inlineStr">
        <is>
          <t>TAPE/REGULARIZAÇÃO DE TENSÃO</t>
        </is>
      </c>
      <c r="I197" s="2" t="n">
        <v>5710105001</v>
      </c>
      <c r="J197" s="2" t="inlineStr">
        <is>
          <t>DLP-MLPA01  000142/2026</t>
        </is>
      </c>
      <c r="K197" s="2" t="n">
        <v>112600439</v>
      </c>
      <c r="L197" s="2" t="inlineStr">
        <is>
          <t>2026-04-20 20:01</t>
        </is>
      </c>
      <c r="M197" s="2" t="inlineStr">
        <is>
          <t>2026-04-20 18:00</t>
        </is>
      </c>
      <c r="N197" s="2" t="inlineStr">
        <is>
          <t>FORMS SUBST DE TRANSFORMADOR</t>
        </is>
      </c>
      <c r="O197" s="2" t="inlineStr">
        <is>
          <t>DOLP-RD-PA</t>
        </is>
      </c>
      <c r="P197" s="2" t="inlineStr">
        <is>
          <t>PORTO NACIONAL</t>
        </is>
      </c>
      <c r="Q197" s="2" t="inlineStr">
        <is>
          <t>AVARIADO</t>
        </is>
      </c>
      <c r="R197" s="2" t="inlineStr">
        <is>
          <t>NÃO IDENTIFICADO</t>
        </is>
      </c>
      <c r="S197" s="2" t="inlineStr">
        <is>
          <t>0</t>
        </is>
      </c>
      <c r="T197" s="2" t="n">
        <v>0</v>
      </c>
      <c r="U197" s="2" t="inlineStr">
        <is>
          <t>não</t>
        </is>
      </c>
      <c r="V197" s="2" t="n"/>
      <c r="W197" s="2" t="n"/>
      <c r="X197" s="2" t="n"/>
      <c r="Y197" s="2" t="n"/>
      <c r="Z197" s="4" t="inlineStr">
        <is>
          <t>SIM</t>
        </is>
      </c>
      <c r="AA197" s="4" t="inlineStr">
        <is>
          <t>leitura caso a caso</t>
        </is>
      </c>
      <c r="AB197" s="4" t="inlineStr">
        <is>
          <t>Fora do indicador: o texto descreve tensão baixa que não sobe nem mexendo no tape — o transformador não dá conta da tensão pedida, e isso é nível de tensão, não falha do equipamento.</t>
        </is>
      </c>
      <c r="AC197" s="2" t="inlineStr">
        <is>
          <t>TRAFO COM TENSÃO BAIXA E TAP INTERNO. POTÊNCIA: 30 KVATENSÃO: 13,8 KVACESSO: LIVRE.</t>
        </is>
      </c>
      <c r="AD197" s="2" t="inlineStr">
        <is>
          <t>MEDIDO_ 
01. Baixado para consumo de material 
TRAFO COM TENSÃO BAIXA E TAP INTERNO.  
POTÊNCIA: 30 KVA 
TENSÃO: 13,8 KV 
ACESSO: LIVRE. 
DADOS DO ATENDIMENTO: 
EQUIPE: 933004 
LIDER: JOSE RAIMUNDO 
DATA: 21/04/2026</t>
        </is>
      </c>
    </row>
    <row r="198" ht="180" customHeight="1">
      <c r="A198" s="2" t="inlineStr">
        <is>
          <t>ETO-RD-AG 00587/2026</t>
        </is>
      </c>
      <c r="B198" s="2" t="inlineStr">
        <is>
          <t>jun</t>
        </is>
      </c>
      <c r="C198" s="7" t="inlineStr">
        <is>
          <t>Troca sem falha</t>
        </is>
      </c>
      <c r="D198" s="2" t="inlineStr">
        <is>
          <t>Tape / tensão</t>
        </is>
      </c>
      <c r="E198" s="2" t="inlineStr">
        <is>
          <t>EXPURGO</t>
        </is>
      </c>
      <c r="F198" s="2" t="inlineStr">
        <is>
          <t>QUEIMADO</t>
        </is>
      </c>
      <c r="G198" s="2" t="inlineStr">
        <is>
          <t>esteira 1.582</t>
        </is>
      </c>
      <c r="H198" s="2" t="inlineStr">
        <is>
          <t>TAPE/REGULARIZAÇÃO DE TENSÃO</t>
        </is>
      </c>
      <c r="I198" s="2" t="n">
        <v>5700012065</v>
      </c>
      <c r="J198" s="2" t="inlineStr">
        <is>
          <t>ENC-MPAG01  000261/2026</t>
        </is>
      </c>
      <c r="K198" s="2" t="n">
        <v>662600373</v>
      </c>
      <c r="L198" s="2" t="inlineStr">
        <is>
          <t>2026-06-12 09:40</t>
        </is>
      </c>
      <c r="M198" s="2" t="inlineStr">
        <is>
          <t>2026-06-12 21:51</t>
        </is>
      </c>
      <c r="N198" s="2" t="inlineStr">
        <is>
          <t>FORMS SUBST DE TRANSFORMADOR</t>
        </is>
      </c>
      <c r="O198" s="2" t="inlineStr">
        <is>
          <t>ETO-RD-AG</t>
        </is>
      </c>
      <c r="P198" s="2" t="inlineStr">
        <is>
          <t>AXIXA DO TOCANTINS</t>
        </is>
      </c>
      <c r="Q198" s="2" t="inlineStr">
        <is>
          <t>AVARIADO</t>
        </is>
      </c>
      <c r="R198" s="2" t="inlineStr">
        <is>
          <t>NÃO IDENTIFICADO</t>
        </is>
      </c>
      <c r="S198" s="2" t="inlineStr">
        <is>
          <t>338119</t>
        </is>
      </c>
      <c r="T198" s="2" t="n">
        <v>334068</v>
      </c>
      <c r="U198" s="2" t="inlineStr">
        <is>
          <t>sim</t>
        </is>
      </c>
      <c r="V198" s="2" t="inlineStr">
        <is>
          <t>TRANSFORMADOR</t>
        </is>
      </c>
      <c r="W198" s="2" t="inlineStr">
        <is>
          <t>QUEIMADO POR CURTO NA RD</t>
        </is>
      </c>
      <c r="X198" s="2" t="n"/>
      <c r="Y198" s="2" t="n"/>
      <c r="Z198" s="4" t="inlineStr">
        <is>
          <t>SIM</t>
        </is>
      </c>
      <c r="AA198" s="4" t="inlineStr">
        <is>
          <t>leitura caso a caso</t>
        </is>
      </c>
      <c r="AB198" s="4"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AC198" s="2" t="inlineStr">
        <is>
          <t>Favor substituir o trafo 5700012065 de 75kVA na tensão 13.8kV, fica na RDU de Axixá.</t>
        </is>
      </c>
      <c r="AD198" s="2"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199" ht="105" customHeight="1">
      <c r="A199" s="2" t="inlineStr">
        <is>
          <t>ETO-RD-AR 01030/2026</t>
        </is>
      </c>
      <c r="B199" s="2" t="inlineStr">
        <is>
          <t>jun</t>
        </is>
      </c>
      <c r="C199" s="7" t="inlineStr">
        <is>
          <t>Troca sem falha</t>
        </is>
      </c>
      <c r="D199" s="2" t="inlineStr">
        <is>
          <t>Tape / tensão</t>
        </is>
      </c>
      <c r="E199" s="2" t="inlineStr">
        <is>
          <t>EXPURGO</t>
        </is>
      </c>
      <c r="F199" s="2" t="inlineStr">
        <is>
          <t>AVARIADO</t>
        </is>
      </c>
      <c r="G199" s="2" t="inlineStr">
        <is>
          <t>esteira 1.582</t>
        </is>
      </c>
      <c r="H199" s="2" t="inlineStr">
        <is>
          <t>TAPE/REGULARIZAÇÃO DE TENSÃO</t>
        </is>
      </c>
      <c r="I199" s="2" t="n">
        <v>5700408058</v>
      </c>
      <c r="J199" s="2" t="inlineStr">
        <is>
          <t>ENC-MLAR05  000350/2026</t>
        </is>
      </c>
      <c r="K199" s="2" t="n">
        <v>612600651</v>
      </c>
      <c r="L199" s="2" t="inlineStr">
        <is>
          <t>2026-06-25 10:28</t>
        </is>
      </c>
      <c r="M199" s="2" t="inlineStr">
        <is>
          <t>2026-06-25 23:36</t>
        </is>
      </c>
      <c r="N199" s="2" t="inlineStr">
        <is>
          <t>AVISO DE ANOMALIA</t>
        </is>
      </c>
      <c r="O199" s="2" t="inlineStr">
        <is>
          <t>ETO-RD-AR</t>
        </is>
      </c>
      <c r="P199" s="2" t="inlineStr">
        <is>
          <t>SANTA FE DO ARAGUAIA</t>
        </is>
      </c>
      <c r="Q199" s="2" t="inlineStr">
        <is>
          <t>AVARIADO</t>
        </is>
      </c>
      <c r="R199" s="2" t="inlineStr">
        <is>
          <t>VAZAMENTO DE ÓLEO</t>
        </is>
      </c>
      <c r="S199" s="2" t="inlineStr">
        <is>
          <t>443443</t>
        </is>
      </c>
      <c r="T199" s="2" t="n">
        <v>1541159</v>
      </c>
      <c r="U199" s="2" t="inlineStr">
        <is>
          <t>sim</t>
        </is>
      </c>
      <c r="V199" s="2" t="inlineStr">
        <is>
          <t>DESLIGAMENTO SEM PROGRAMACAO PREVIA</t>
        </is>
      </c>
      <c r="W199" s="2" t="inlineStr">
        <is>
          <t>RD DE BT</t>
        </is>
      </c>
      <c r="X199" s="2" t="n"/>
      <c r="Y199" s="2" t="n"/>
      <c r="Z199" s="4" t="inlineStr">
        <is>
          <t>não</t>
        </is>
      </c>
      <c r="AA199" s="4" t="inlineStr">
        <is>
          <t>leitura caso a caso</t>
        </is>
      </c>
      <c r="AB199" s="4"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AC199" s="2" t="inlineStr">
        <is>
          <t>boa tarde!segue SS para substituir trafo com vazamento na rdu de Santa Fé.trafo 5700408058 112,5 KVA</t>
        </is>
      </c>
      <c r="AD199" s="2" t="inlineStr">
        <is>
          <t xml:space="preserve">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 
</t>
        </is>
      </c>
    </row>
    <row r="200" ht="150" customHeight="1">
      <c r="A200" s="2" t="inlineStr">
        <is>
          <t>ETO-RD-AR 01095/2026</t>
        </is>
      </c>
      <c r="B200" s="2" t="inlineStr">
        <is>
          <t>jul</t>
        </is>
      </c>
      <c r="C200" s="7" t="inlineStr">
        <is>
          <t>Troca sem falha</t>
        </is>
      </c>
      <c r="D200" s="2" t="inlineStr">
        <is>
          <t>Tape / tensão</t>
        </is>
      </c>
      <c r="E200" s="2" t="inlineStr">
        <is>
          <t>EXPURGO</t>
        </is>
      </c>
      <c r="F200" s="2" t="inlineStr">
        <is>
          <t>AVARIADO</t>
        </is>
      </c>
      <c r="G200" s="2" t="inlineStr">
        <is>
          <t>leitura do texto (jan–ago)</t>
        </is>
      </c>
      <c r="H200" s="2" t="inlineStr">
        <is>
          <t>TAPE/REGULARIZAÇÃO DE TENSÃO</t>
        </is>
      </c>
      <c r="I200" s="2" t="n">
        <v>5710025025</v>
      </c>
      <c r="J200" s="2" t="inlineStr">
        <is>
          <t>ENC-MPAR02  000037/2026</t>
        </is>
      </c>
      <c r="K200" s="2" t="n">
        <v>612600704</v>
      </c>
      <c r="L200" s="2" t="inlineStr">
        <is>
          <t>2026-07-13 18:41</t>
        </is>
      </c>
      <c r="M200" s="2" t="inlineStr">
        <is>
          <t>2026-07-14 23:36</t>
        </is>
      </c>
      <c r="N200" s="2" t="inlineStr">
        <is>
          <t>AVISO DE ANOMALIA</t>
        </is>
      </c>
      <c r="O200" s="2" t="inlineStr">
        <is>
          <t>ETO-RD-AR</t>
        </is>
      </c>
      <c r="P200" s="2" t="inlineStr">
        <is>
          <t>ARAPOEMA</t>
        </is>
      </c>
      <c r="Q200" s="2" t="inlineStr">
        <is>
          <t>AVARIADO</t>
        </is>
      </c>
      <c r="R200" s="2" t="inlineStr">
        <is>
          <t>NÃO IDENTIFICADO</t>
        </is>
      </c>
      <c r="S200" s="2" t="inlineStr">
        <is>
          <t>99061907</t>
        </is>
      </c>
      <c r="T200" s="2" t="n"/>
      <c r="U200" s="2" t="inlineStr">
        <is>
          <t>não</t>
        </is>
      </c>
      <c r="V200" s="2" t="n"/>
      <c r="W200" s="2" t="n"/>
      <c r="X200" s="2" t="n"/>
      <c r="Y200" s="2" t="n"/>
      <c r="Z200" s="4" t="inlineStr">
        <is>
          <t>não</t>
        </is>
      </c>
      <c r="AA200" s="4" t="inlineStr">
        <is>
          <t>leitura caso a caso</t>
        </is>
      </c>
      <c r="AB200" s="4"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c r="AC200" s="2" t="inlineStr">
        <is>
          <t>Substitui trafo 5710025025 TAP submerso e a tensão esta baixa em campo. Acesso livre. PRAIA DO JACU</t>
        </is>
      </c>
      <c r="AD200" s="2" t="inlineStr">
        <is>
          <t xml:space="preserve">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 
</t>
        </is>
      </c>
    </row>
    <row r="201" ht="30" customHeight="1">
      <c r="A201" s="2" t="inlineStr">
        <is>
          <t>DG-RD-PO 00116/2026</t>
        </is>
      </c>
      <c r="B201" s="2" t="inlineStr">
        <is>
          <t>jan</t>
        </is>
      </c>
      <c r="C201" s="8" t="inlineStr">
        <is>
          <t>Sem documento</t>
        </is>
      </c>
      <c r="D201" s="2" t="inlineStr">
        <is>
          <t>Obra sem execução</t>
        </is>
      </c>
      <c r="E201" s="2" t="inlineStr">
        <is>
          <t>EXPURGO</t>
        </is>
      </c>
      <c r="F201" s="2" t="inlineStr">
        <is>
          <t>QUEIMADO</t>
        </is>
      </c>
      <c r="G201" s="2" t="inlineStr">
        <is>
          <t>esteira 1.582</t>
        </is>
      </c>
      <c r="H201" s="2" t="inlineStr">
        <is>
          <t>OBRA SEM EXECUÇÃO</t>
        </is>
      </c>
      <c r="I201" s="2" t="n">
        <v>5710067250</v>
      </c>
      <c r="J201" s="2" t="inlineStr">
        <is>
          <t>DG-MLPO01  000024/2026</t>
        </is>
      </c>
      <c r="K201" s="2" t="n">
        <v>312600095</v>
      </c>
      <c r="L201" s="2" t="inlineStr">
        <is>
          <t>2026-01-27 18:44</t>
        </is>
      </c>
      <c r="M201" s="2" t="inlineStr">
        <is>
          <t>2026-01-28 16:42</t>
        </is>
      </c>
      <c r="N201" s="2" t="inlineStr">
        <is>
          <t>FORMS SUBST DE TRANSFORMADOR</t>
        </is>
      </c>
      <c r="O201" s="2" t="inlineStr">
        <is>
          <t>DG-RD-PO</t>
        </is>
      </c>
      <c r="P201" s="2" t="inlineStr">
        <is>
          <t>IPUEIRAS</t>
        </is>
      </c>
      <c r="Q201" s="2" t="inlineStr">
        <is>
          <t>FURTADO</t>
        </is>
      </c>
      <c r="R201" s="2" t="inlineStr">
        <is>
          <t>FURTADO</t>
        </is>
      </c>
      <c r="S201" s="2" t="inlineStr">
        <is>
          <t>369941</t>
        </is>
      </c>
      <c r="T201" s="2" t="n">
        <v>820299</v>
      </c>
      <c r="U201" s="2" t="inlineStr">
        <is>
          <t>sim</t>
        </is>
      </c>
      <c r="V201" s="2" t="inlineStr">
        <is>
          <t>TRANSFORMADOR</t>
        </is>
      </c>
      <c r="W201" s="2" t="inlineStr">
        <is>
          <t>QUEIMADO POR DESCARGA ATMOSFERICA</t>
        </is>
      </c>
      <c r="X201" s="2" t="n"/>
      <c r="Y201" s="2" t="n"/>
      <c r="Z201" s="4" t="inlineStr">
        <is>
          <t>não</t>
        </is>
      </c>
      <c r="AA201" s="4" t="inlineStr">
        <is>
          <t>leitura caso a caso</t>
        </is>
      </c>
      <c r="AB201" s="4" t="inlineStr">
        <is>
          <t>Fora do indicador: a obra existe e não executou nada — sem material e sem valor realizado.</t>
        </is>
      </c>
      <c r="AC201" s="2" t="inlineStr">
        <is>
          <t>INT: 20264101055791Segue SS de TR 5710067250 15KVA/19.9KV e para-raios possivelmente furtado.Acesso livre para caminhonete.UC 8832714CHACARA SAO JOAO BATISTA63992193439CLEUSA DOS SANTOS001OP18 63 99295-3666</t>
        </is>
      </c>
      <c r="AD201" s="2" t="inlineStr">
        <is>
          <t xml:space="preserve">medido_ 
emergencial_ 
substituição de trafo furtado rdr ipueiras  
</t>
        </is>
      </c>
    </row>
    <row r="202" ht="30" customHeight="1">
      <c r="A202" s="2" t="inlineStr">
        <is>
          <t>DOLP-RD-PA 00244/2026</t>
        </is>
      </c>
      <c r="B202" s="2" t="inlineStr">
        <is>
          <t>fev</t>
        </is>
      </c>
      <c r="C202" s="8" t="inlineStr">
        <is>
          <t>Sem documento</t>
        </is>
      </c>
      <c r="D202" s="2" t="inlineStr">
        <is>
          <t>Obra sem transformador</t>
        </is>
      </c>
      <c r="E202" s="2" t="inlineStr">
        <is>
          <t>EXPURGO</t>
        </is>
      </c>
      <c r="F202" s="2" t="inlineStr">
        <is>
          <t>QUEIMADO</t>
        </is>
      </c>
      <c r="G202" s="2" t="inlineStr">
        <is>
          <t>esteira 1.582</t>
        </is>
      </c>
      <c r="H202" s="2" t="inlineStr">
        <is>
          <t>OBRA SEM TRANSFORMADOR NO MATERIAL</t>
        </is>
      </c>
      <c r="I202" s="2" t="n">
        <v>5710321010</v>
      </c>
      <c r="J202" s="2" t="inlineStr">
        <is>
          <t>DLP-MLPA01  000059/2026</t>
        </is>
      </c>
      <c r="K202" s="2" t="n">
        <v>112600269</v>
      </c>
      <c r="L202" s="2" t="inlineStr">
        <is>
          <t>2026-02-11 17:52</t>
        </is>
      </c>
      <c r="M202" s="2" t="inlineStr">
        <is>
          <t>2026-02-19 13:47</t>
        </is>
      </c>
      <c r="N202" s="2" t="inlineStr">
        <is>
          <t>FORMS SUBST DE TRANSFORMADOR</t>
        </is>
      </c>
      <c r="O202" s="2" t="inlineStr">
        <is>
          <t>DOLP-RD-PA</t>
        </is>
      </c>
      <c r="P202" s="2" t="inlineStr">
        <is>
          <t>LAJEADO</t>
        </is>
      </c>
      <c r="Q202" s="2" t="inlineStr">
        <is>
          <t>QUEIMADO</t>
        </is>
      </c>
      <c r="R202" s="2" t="inlineStr">
        <is>
          <t>DESCARGA ATMOSFÉRICA</t>
        </is>
      </c>
      <c r="S202" s="2" t="inlineStr">
        <is>
          <t>928991</t>
        </is>
      </c>
      <c r="T202" s="2" t="n">
        <v>498289</v>
      </c>
      <c r="U202" s="2" t="inlineStr">
        <is>
          <t>sim</t>
        </is>
      </c>
      <c r="V202" s="2" t="inlineStr">
        <is>
          <t>TRANSFORMADOR</t>
        </is>
      </c>
      <c r="W202" s="2" t="inlineStr">
        <is>
          <t>QUEIMADO POR DESCARGA ATMOSFERICA</t>
        </is>
      </c>
      <c r="X202" s="2" t="inlineStr">
        <is>
          <t>TRANSFORMADOR</t>
        </is>
      </c>
      <c r="Y202" s="2" t="inlineStr">
        <is>
          <t>QUEIMADO POR DESCARGA ATMOSFERICA</t>
        </is>
      </c>
      <c r="Z202" s="4" t="inlineStr">
        <is>
          <t>SIM</t>
        </is>
      </c>
      <c r="AA202" s="4" t="inlineStr">
        <is>
          <t>leitura caso a caso</t>
        </is>
      </c>
      <c r="AB202" s="4" t="inlineStr">
        <is>
          <t>Fora do indicador: obra encerrada e conferida no material, sem transformador movimentado.</t>
        </is>
      </c>
      <c r="AC202" s="2" t="inlineStr">
        <is>
          <t>segue nota de trafo queimado,trafo 5710321010, trafo de 15kva, tensao 34500 / 440 V acesso livre, para raio danificado,</t>
        </is>
      </c>
      <c r="AD202" s="2" t="inlineStr">
        <is>
          <t xml:space="preserve">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 
</t>
        </is>
      </c>
    </row>
    <row r="203" ht="30" customHeight="1">
      <c r="A203" s="2" t="inlineStr">
        <is>
          <t>ETO-RD-GU 00232/2026</t>
        </is>
      </c>
      <c r="B203" s="2" t="inlineStr">
        <is>
          <t>fev</t>
        </is>
      </c>
      <c r="C203" s="8" t="inlineStr">
        <is>
          <t>Sem documento</t>
        </is>
      </c>
      <c r="D203" s="2" t="inlineStr">
        <is>
          <t>Obra sem transformador</t>
        </is>
      </c>
      <c r="E203" s="2" t="inlineStr">
        <is>
          <t>EXPURGO</t>
        </is>
      </c>
      <c r="F203" s="2" t="inlineStr">
        <is>
          <t>QUEIMADO</t>
        </is>
      </c>
      <c r="G203" s="2" t="inlineStr">
        <is>
          <t>esteira 1.582</t>
        </is>
      </c>
      <c r="H203" s="2" t="inlineStr">
        <is>
          <t>OBRA SEM TRANSFORMADOR NO MATERIAL</t>
        </is>
      </c>
      <c r="I203" s="2" t="n">
        <v>5700075036</v>
      </c>
      <c r="J203" s="2" t="inlineStr">
        <is>
          <t>DBM-MPDB08  000047/2026</t>
        </is>
      </c>
      <c r="K203" s="2" t="n">
        <v>412600231</v>
      </c>
      <c r="L203" s="2" t="inlineStr">
        <is>
          <t>2026-02-18 18:51</t>
        </is>
      </c>
      <c r="M203" s="2" t="inlineStr">
        <is>
          <t>2026-02-19 13:59</t>
        </is>
      </c>
      <c r="N203" s="2" t="inlineStr">
        <is>
          <t>FORMS SUBST DE TRANSFORMADOR</t>
        </is>
      </c>
      <c r="O203" s="2" t="inlineStr">
        <is>
          <t>ETO-RD-GU</t>
        </is>
      </c>
      <c r="P203" s="2" t="inlineStr">
        <is>
          <t>ALVORADA</t>
        </is>
      </c>
      <c r="Q203" s="2" t="inlineStr">
        <is>
          <t>QUEIMADO</t>
        </is>
      </c>
      <c r="R203" s="2" t="inlineStr">
        <is>
          <t>DESCARGA ATMOSFÉRICA</t>
        </is>
      </c>
      <c r="S203" s="2" t="inlineStr">
        <is>
          <t>10021</t>
        </is>
      </c>
      <c r="T203" s="2" t="n">
        <v>334046</v>
      </c>
      <c r="U203" s="2" t="inlineStr">
        <is>
          <t>sim</t>
        </is>
      </c>
      <c r="V203" s="2" t="inlineStr">
        <is>
          <t>CAUSA NAO IDENTIFICADA</t>
        </is>
      </c>
      <c r="W203" s="2" t="inlineStr">
        <is>
          <t>CAUSA NAO IDENTIFICADA - ESPECIFICAR</t>
        </is>
      </c>
      <c r="X203" s="2" t="inlineStr">
        <is>
          <t>CAUSA NAO IDENTIFICADA</t>
        </is>
      </c>
      <c r="Y203" s="2" t="inlineStr">
        <is>
          <t>CAUSA NAO IDENTIFICADA - ESPECIFICAR</t>
        </is>
      </c>
      <c r="Z203" s="4" t="inlineStr">
        <is>
          <t>não</t>
        </is>
      </c>
      <c r="AA203" s="4" t="inlineStr">
        <is>
          <t>leitura caso a caso</t>
        </is>
      </c>
      <c r="AB203" s="4" t="inlineStr">
        <is>
          <t>Fora do indicador: obra encerrada e conferida no material, sem transformador movimentado.</t>
        </is>
      </c>
      <c r="AC203" s="2" t="inlineStr">
        <is>
          <t>SEGUE SOLICITAÇÃO DE SERVIÇO PARA TROCA DE TRAFO QUEIMADO NA RDU DE ALVORADA</t>
        </is>
      </c>
      <c r="AD203" s="2" t="inlineStr">
        <is>
          <t xml:space="preserve">SUBSTITUIÇÃO DE TRANSFORMADOR NA RDR DE ALVORADA 
SS: ETO-RD-GU 232/2026 
ESPECIFICAÇÕES DO TRANSFORMADOR 
TRANSFORMADOR INSTALADO:  75 KVA 
TRANSFORMADOR RETIRADO: 75 KVA 
MEDIÇÕES 
LOGO APÓS A TROCA  
VAN: 218 
OBS:SUBSTITUIÇÃO DE TRANSFORMADOR AUTORIZADA PELO DIONE. 
</t>
        </is>
      </c>
    </row>
    <row r="204" ht="30" customHeight="1">
      <c r="A204" s="2" t="inlineStr">
        <is>
          <t>ETO-RD-GU 00671/2026</t>
        </is>
      </c>
      <c r="B204" s="2" t="inlineStr">
        <is>
          <t>jun</t>
        </is>
      </c>
      <c r="C204" s="8" t="inlineStr">
        <is>
          <t>Sem documento</t>
        </is>
      </c>
      <c r="D204" s="2" t="inlineStr">
        <is>
          <t>Obra sem transformador</t>
        </is>
      </c>
      <c r="E204" s="2" t="inlineStr">
        <is>
          <t>EXPURGO</t>
        </is>
      </c>
      <c r="F204" s="2" t="inlineStr">
        <is>
          <t>QUEIMADO</t>
        </is>
      </c>
      <c r="G204" s="2" t="inlineStr">
        <is>
          <t>esteira 1.582</t>
        </is>
      </c>
      <c r="H204" s="2" t="inlineStr">
        <is>
          <t>OBRA SEM TRANSFORMADOR NO MATERIAL</t>
        </is>
      </c>
      <c r="I204" s="2" t="n">
        <v>5710011094</v>
      </c>
      <c r="J204" s="2" t="inlineStr">
        <is>
          <t>DBM-MPDB10  000071/2026</t>
        </is>
      </c>
      <c r="K204" s="2" t="n">
        <v>412600525</v>
      </c>
      <c r="L204" s="2" t="inlineStr">
        <is>
          <t>2026-06-25 11:41</t>
        </is>
      </c>
      <c r="M204" s="2" t="inlineStr">
        <is>
          <t>2026-06-26 16:10</t>
        </is>
      </c>
      <c r="N204" s="2" t="inlineStr">
        <is>
          <t>FORMS SUBST DE TRANSFORMADOR</t>
        </is>
      </c>
      <c r="O204" s="2" t="inlineStr">
        <is>
          <t>ETO-RD-GU</t>
        </is>
      </c>
      <c r="P204" s="2" t="inlineStr">
        <is>
          <t>PEIXE</t>
        </is>
      </c>
      <c r="Q204" s="2" t="inlineStr">
        <is>
          <t>QUEIMADO</t>
        </is>
      </c>
      <c r="R204" s="2" t="inlineStr">
        <is>
          <t>NÃO IDENTIFICADO</t>
        </is>
      </c>
      <c r="S204" s="2" t="inlineStr">
        <is>
          <t>566197039</t>
        </is>
      </c>
      <c r="T204" s="2" t="n">
        <v>1557595</v>
      </c>
      <c r="U204" s="2" t="inlineStr">
        <is>
          <t>sim</t>
        </is>
      </c>
      <c r="V204" s="2" t="inlineStr">
        <is>
          <t>TRANSFORMADOR</t>
        </is>
      </c>
      <c r="W204" s="2" t="inlineStr">
        <is>
          <t>VAZAMENTO DE OLEO / TANQUE DETERIORADO</t>
        </is>
      </c>
      <c r="X204" s="2" t="inlineStr">
        <is>
          <t>TRANSFORMADOR</t>
        </is>
      </c>
      <c r="Y204" s="2" t="inlineStr">
        <is>
          <t>VAZAMENTO DE OLEO / TANQUE DETERIORADO</t>
        </is>
      </c>
      <c r="Z204" s="4" t="inlineStr">
        <is>
          <t>SIM</t>
        </is>
      </c>
      <c r="AA204" s="4" t="inlineStr">
        <is>
          <t>leitura caso a caso</t>
        </is>
      </c>
      <c r="AB204" s="4" t="inlineStr">
        <is>
          <t>Fora do indicador: obra encerrada e conferida no material, sem transformador movimentado.</t>
        </is>
      </c>
      <c r="AC204" s="2" t="inlineStr">
        <is>
          <t>Segue SS de trafo 5710011094 queimado para devidas trativas com equipe de manutenção.Potencia: 30kva Tensão 34,5 kvPara raio: queimado acesso livre</t>
        </is>
      </c>
      <c r="AD204" s="2" t="inlineStr">
        <is>
          <t xml:space="preserve">SUBSTITUIÇÃO DE TRANSFORMADOR NA RDR DE PEIXE 
SS: ETO-RD-GU 671-2026 
ESPECIFICAÇÕES DO TRANSFORMADOR 
TRANSFORMADOR INSTALADO: 30 KVA 
TRANSFORMADOR RETIRADO: 30 KVA 
OBS:SUBSTITUIÇÃO DE TRANSFORMADOR AUTORIZADA PELO DIONE. 
</t>
        </is>
      </c>
    </row>
    <row r="205" ht="45" customHeight="1">
      <c r="A205" s="2" t="inlineStr">
        <is>
          <t>DOLP-RD-PA 00348/2026</t>
        </is>
      </c>
      <c r="B205" s="2" t="inlineStr">
        <is>
          <t>mar</t>
        </is>
      </c>
      <c r="C205" s="8" t="inlineStr">
        <is>
          <t>Sem documento</t>
        </is>
      </c>
      <c r="D205" s="2" t="inlineStr">
        <is>
          <t>Sem OS</t>
        </is>
      </c>
      <c r="E205" s="2" t="inlineStr">
        <is>
          <t>EXPURGO</t>
        </is>
      </c>
      <c r="F205" s="2" t="inlineStr">
        <is>
          <t>SEM OS</t>
        </is>
      </c>
      <c r="G205" s="2" t="inlineStr">
        <is>
          <t>esteira 1.582</t>
        </is>
      </c>
      <c r="H205" s="2" t="inlineStr">
        <is>
          <t>SEM OS E SEM OBRA</t>
        </is>
      </c>
      <c r="I205" s="2" t="n">
        <v>5736149196</v>
      </c>
      <c r="J205" s="2" t="inlineStr">
        <is>
          <t>ETO-LMPA01  000075/2026</t>
        </is>
      </c>
      <c r="K205" s="2" t="n">
        <v>112600682</v>
      </c>
      <c r="L205" s="2" t="inlineStr">
        <is>
          <t>2026-03-13 18:01</t>
        </is>
      </c>
      <c r="M205" s="2" t="inlineStr">
        <is>
          <t>2026-03-14 15:31</t>
        </is>
      </c>
      <c r="N205" s="2" t="inlineStr">
        <is>
          <t>FORMS SUBST DE TRANSFORMADOR</t>
        </is>
      </c>
      <c r="O205" s="2" t="inlineStr">
        <is>
          <t>DOLP-RD-PA</t>
        </is>
      </c>
      <c r="P205" s="2" t="inlineStr">
        <is>
          <t>LAGOA DO TOCANTINS</t>
        </is>
      </c>
      <c r="Q205" s="2" t="inlineStr">
        <is>
          <t>QUEIMADO</t>
        </is>
      </c>
      <c r="R205" s="2" t="inlineStr">
        <is>
          <t>NÃO IDENTIFICADO</t>
        </is>
      </c>
      <c r="S205" s="2" t="inlineStr">
        <is>
          <t>498611</t>
        </is>
      </c>
      <c r="T205" s="2" t="n">
        <v>828036</v>
      </c>
      <c r="U205" s="2" t="inlineStr">
        <is>
          <t>sim</t>
        </is>
      </c>
      <c r="V205" s="2" t="inlineStr">
        <is>
          <t>TRANSFORMADOR</t>
        </is>
      </c>
      <c r="W205" s="2" t="inlineStr">
        <is>
          <t>QUEIMADO POR CAUSA NAO IDENTIFICADA</t>
        </is>
      </c>
      <c r="X205" s="2" t="inlineStr">
        <is>
          <t>TRANSFORMADOR</t>
        </is>
      </c>
      <c r="Y205" s="2" t="inlineStr">
        <is>
          <t>QUEIMADO POR CAUSA NAO IDENTIFICADA</t>
        </is>
      </c>
      <c r="Z205" s="4" t="inlineStr">
        <is>
          <t>SIM</t>
        </is>
      </c>
      <c r="AA205" s="4" t="inlineStr">
        <is>
          <t>leitura caso a caso</t>
        </is>
      </c>
      <c r="AB205" s="4" t="inlineStr">
        <is>
          <t>Fora do indicador: a OS não tem descrição e a obra não foi gerada — não há o que ler nem o que conferir.</t>
        </is>
      </c>
      <c r="AC205" s="2" t="inlineStr">
        <is>
          <t>segue ss de 01  trafo de 15 kvar e 01 para raio da rede de 34.500kv e 01 para raio queimado para ser subistituido pela equipe de manutencão acesso livre equipe que atendeu 151op01 cel, 63992044413/992629128 acesso livre favor agilizar o atendimento</t>
        </is>
      </c>
      <c r="AD205" s="2" t="n"/>
    </row>
    <row r="206" ht="45" customHeight="1">
      <c r="A206" s="2" t="inlineStr">
        <is>
          <t>DOLP-RD-PA 00354/2026</t>
        </is>
      </c>
      <c r="B206" s="2" t="inlineStr">
        <is>
          <t>mar</t>
        </is>
      </c>
      <c r="C206" s="8" t="inlineStr">
        <is>
          <t>Sem documento</t>
        </is>
      </c>
      <c r="D206" s="2" t="inlineStr">
        <is>
          <t>Sem OS</t>
        </is>
      </c>
      <c r="E206" s="2" t="inlineStr">
        <is>
          <t>EXPURGO</t>
        </is>
      </c>
      <c r="F206" s="2" t="inlineStr">
        <is>
          <t>QUEIMADO</t>
        </is>
      </c>
      <c r="G206" s="2" t="inlineStr">
        <is>
          <t>esteira 1.582</t>
        </is>
      </c>
      <c r="H206" s="2" t="inlineStr">
        <is>
          <t>SEM OS E SEM OBRA</t>
        </is>
      </c>
      <c r="I206" s="2" t="n">
        <v>5711515122</v>
      </c>
      <c r="J206" s="2" t="inlineStr">
        <is>
          <t>ETO-LMPA02  000292/2026</t>
        </is>
      </c>
      <c r="K206" s="2" t="n">
        <v>112600683</v>
      </c>
      <c r="L206" s="2" t="inlineStr">
        <is>
          <t>2026-03-15 18:33</t>
        </is>
      </c>
      <c r="M206" s="2" t="inlineStr">
        <is>
          <t>2026-03-16 16:38</t>
        </is>
      </c>
      <c r="N206" s="2" t="inlineStr">
        <is>
          <t>FORMS SUBST DE TRANSFORMADOR</t>
        </is>
      </c>
      <c r="O206" s="2" t="inlineStr">
        <is>
          <t>DOLP-RD-PA</t>
        </is>
      </c>
      <c r="P206" s="2" t="inlineStr">
        <is>
          <t>PALMAS</t>
        </is>
      </c>
      <c r="Q206" s="2" t="inlineStr">
        <is>
          <t>QUEIMADO</t>
        </is>
      </c>
      <c r="R206" s="2" t="inlineStr">
        <is>
          <t>DESCARGA ATMOSFÉRICA</t>
        </is>
      </c>
      <c r="S206" s="2" t="inlineStr">
        <is>
          <t>2829653</t>
        </is>
      </c>
      <c r="T206" s="2" t="n">
        <v>289653</v>
      </c>
      <c r="U206" s="2" t="inlineStr">
        <is>
          <t>sim</t>
        </is>
      </c>
      <c r="V206" s="2" t="inlineStr">
        <is>
          <t>CAUSA NAO IDENTIFICADA</t>
        </is>
      </c>
      <c r="W206" s="2" t="inlineStr">
        <is>
          <t>CAUSA NAO IDENTIFICADA - ESPECIFICAR</t>
        </is>
      </c>
      <c r="X206" s="2" t="inlineStr">
        <is>
          <t>MEIO AMBIENTE</t>
        </is>
      </c>
      <c r="Y206" s="2" t="inlineStr">
        <is>
          <t>DESCARGA ATMOSFERICA</t>
        </is>
      </c>
      <c r="Z206" s="4" t="inlineStr">
        <is>
          <t>SIM</t>
        </is>
      </c>
      <c r="AA206" s="4" t="inlineStr">
        <is>
          <t>leitura caso a caso</t>
        </is>
      </c>
      <c r="AB206" s="4" t="inlineStr">
        <is>
          <t>Fora do indicador: a OS não tem descrição e a obra não foi gerada — não há o que ler nem o que conferir.</t>
        </is>
      </c>
      <c r="AC206" s="2" t="inlineStr">
        <is>
          <t>TRAFO 5711515122 QUEIMADOPOTÊNCIA: 15 KVATENSÃO: 7,9 KVPARARAIO: BOMACESSO: LIVRE</t>
        </is>
      </c>
      <c r="AD206" s="2" t="inlineStr">
        <is>
          <t xml:space="preserve"> 
SUBSTITUIÇÃO DO TF FEITO PELA EQUIPE PRORPIA DA ETO COCOM CENTRO. 
PATRIMONIO  - 150012 
</t>
        </is>
      </c>
    </row>
    <row r="207" ht="45" customHeight="1">
      <c r="A207" s="2" t="inlineStr">
        <is>
          <t>ETO-RD-DP 00233/2026</t>
        </is>
      </c>
      <c r="B207" s="2" t="inlineStr">
        <is>
          <t>abr</t>
        </is>
      </c>
      <c r="C207" s="8" t="inlineStr">
        <is>
          <t>Sem documento</t>
        </is>
      </c>
      <c r="D207" s="2" t="inlineStr">
        <is>
          <t>Sem OS</t>
        </is>
      </c>
      <c r="E207" s="2" t="inlineStr">
        <is>
          <t>EXPURGO</t>
        </is>
      </c>
      <c r="F207" s="2" t="inlineStr">
        <is>
          <t>SEM OS</t>
        </is>
      </c>
      <c r="G207" s="2" t="inlineStr">
        <is>
          <t>esteira 1.582</t>
        </is>
      </c>
      <c r="H207" s="2" t="inlineStr">
        <is>
          <t>SEM OS E SEM OBRA</t>
        </is>
      </c>
      <c r="I207" s="2" t="n">
        <v>5700108050</v>
      </c>
      <c r="J207" s="2" t="inlineStr">
        <is>
          <t>ETO-RD-DP  000615/2026</t>
        </is>
      </c>
      <c r="K207" s="2" t="n"/>
      <c r="L207" s="2" t="inlineStr">
        <is>
          <t>2026-04-07 15:30</t>
        </is>
      </c>
      <c r="M207" s="2" t="inlineStr">
        <is>
          <t>2026-03-31 14:45</t>
        </is>
      </c>
      <c r="N207" s="2" t="inlineStr">
        <is>
          <t>SOLICITAÇÃO DE SERVIÇO</t>
        </is>
      </c>
      <c r="O207" s="2" t="inlineStr">
        <is>
          <t>ETO-RD-DP</t>
        </is>
      </c>
      <c r="P207" s="2" t="inlineStr">
        <is>
          <t>COMBINADO</t>
        </is>
      </c>
      <c r="Q207" s="2" t="inlineStr">
        <is>
          <t>AVARIADO</t>
        </is>
      </c>
      <c r="R207" s="2" t="inlineStr">
        <is>
          <t>VAZAMENTO DE ÓLEO</t>
        </is>
      </c>
      <c r="S207" s="2" t="n"/>
      <c r="T207" s="2" t="n"/>
      <c r="U207" s="2" t="inlineStr">
        <is>
          <t>não</t>
        </is>
      </c>
      <c r="V207" s="2" t="n"/>
      <c r="W207" s="2" t="n"/>
      <c r="X207" s="2" t="n"/>
      <c r="Y207" s="2" t="n"/>
      <c r="Z207" s="4" t="inlineStr">
        <is>
          <t>não</t>
        </is>
      </c>
      <c r="AA207" s="4" t="inlineStr">
        <is>
          <t>leitura caso a caso</t>
        </is>
      </c>
      <c r="AB207" s="4" t="inlineStr">
        <is>
          <t>Fora do indicador: a OS não tem descrição e a obra não foi gerada — não há o que ler nem o que conferir.</t>
        </is>
      </c>
      <c r="AC207" s="2" t="inlineStr">
        <is>
          <t>SS criada para substituir SS ETO RD DP 002025/2026  que foi cancelada.</t>
        </is>
      </c>
      <c r="AD207" s="2" t="n"/>
    </row>
    <row r="208" ht="30" customHeight="1">
      <c r="A208" s="2" t="inlineStr">
        <is>
          <t>DOLP-RD-PA 00008/2026</t>
        </is>
      </c>
      <c r="B208" s="2" t="inlineStr">
        <is>
          <t>jan</t>
        </is>
      </c>
      <c r="C208" s="8" t="inlineStr">
        <is>
          <t>Sem documento</t>
        </is>
      </c>
      <c r="D208" s="2" t="inlineStr">
        <is>
          <t>Sem obra</t>
        </is>
      </c>
      <c r="E208" s="2" t="inlineStr">
        <is>
          <t>EXPURGO</t>
        </is>
      </c>
      <c r="F208" s="2" t="inlineStr">
        <is>
          <t>QUEIMADO</t>
        </is>
      </c>
      <c r="G208" s="2" t="inlineStr">
        <is>
          <t>esteira 1.582</t>
        </is>
      </c>
      <c r="H208" s="2" t="inlineStr">
        <is>
          <t>SEM OBRA — PASSADOS 60 DIAS</t>
        </is>
      </c>
      <c r="I208" s="2" t="n">
        <v>5700269070</v>
      </c>
      <c r="J208" s="2" t="inlineStr">
        <is>
          <t>DLP-MLPA01  000003/2026</t>
        </is>
      </c>
      <c r="K208" s="2" t="n">
        <v>112600697</v>
      </c>
      <c r="L208" s="2" t="inlineStr">
        <is>
          <t>2026-01-03 18:09</t>
        </is>
      </c>
      <c r="M208" s="2" t="inlineStr">
        <is>
          <t>2026-02-01 12:00</t>
        </is>
      </c>
      <c r="N208" s="2" t="inlineStr">
        <is>
          <t>FORMS SUBST DE TRANSFORMADOR</t>
        </is>
      </c>
      <c r="O208" s="2" t="inlineStr">
        <is>
          <t>DOLP-RD-PA</t>
        </is>
      </c>
      <c r="P208" s="2" t="inlineStr">
        <is>
          <t>RIO SONO</t>
        </is>
      </c>
      <c r="Q208" s="2" t="inlineStr">
        <is>
          <t>QUEIMADO</t>
        </is>
      </c>
      <c r="R208" s="2" t="inlineStr">
        <is>
          <t>DESCARGA ATMOSFÉRICA</t>
        </is>
      </c>
      <c r="S208" s="2" t="inlineStr">
        <is>
          <t>437885</t>
        </is>
      </c>
      <c r="T208" s="2" t="n">
        <v>1615862</v>
      </c>
      <c r="U208" s="2" t="inlineStr">
        <is>
          <t>sim</t>
        </is>
      </c>
      <c r="V208" s="2" t="inlineStr">
        <is>
          <t>TRANSFORMADOR</t>
        </is>
      </c>
      <c r="W208" s="2" t="inlineStr">
        <is>
          <t>QUEIMADO POR DESCARGA ATMOSFERICA</t>
        </is>
      </c>
      <c r="X208" s="2" t="n"/>
      <c r="Y208" s="2" t="n"/>
      <c r="Z208" s="4" t="inlineStr">
        <is>
          <t>SIM</t>
        </is>
      </c>
      <c r="AA208" s="4" t="inlineStr">
        <is>
          <t>leitura caso a caso</t>
        </is>
      </c>
      <c r="AB208" s="4" t="inlineStr">
        <is>
          <t>Fora do indicador: obra não gerada há 214 dias — a prova de material não vai mais chegar.</t>
        </is>
      </c>
      <c r="AC208" s="2" t="inlineStr">
        <is>
          <t>segue ss de trafo queimado, trafo 5700269070, tensao 34500 / 440 V,  trafo de 15kva, acesso somente para caminhonete, obs o trafo fica uns 40 metros de distancia.</t>
        </is>
      </c>
      <c r="AD208" s="2"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209" ht="30" customHeight="1">
      <c r="A209" s="2" t="inlineStr">
        <is>
          <t>DOLP-RD-PA 00096/2026</t>
        </is>
      </c>
      <c r="B209" s="2" t="inlineStr">
        <is>
          <t>jan</t>
        </is>
      </c>
      <c r="C209" s="8" t="inlineStr">
        <is>
          <t>Sem documento</t>
        </is>
      </c>
      <c r="D209" s="2" t="inlineStr">
        <is>
          <t>Sem obra</t>
        </is>
      </c>
      <c r="E209" s="2" t="inlineStr">
        <is>
          <t>EXPURGO</t>
        </is>
      </c>
      <c r="F209" s="2" t="inlineStr">
        <is>
          <t>OUTROS</t>
        </is>
      </c>
      <c r="G209" s="2" t="inlineStr">
        <is>
          <t>esteira 1.582</t>
        </is>
      </c>
      <c r="H209" s="2" t="inlineStr">
        <is>
          <t>SEM OBRA — PASSADOS 60 DIAS</t>
        </is>
      </c>
      <c r="I209" s="2" t="n">
        <v>5745888082</v>
      </c>
      <c r="J209" s="2" t="inlineStr">
        <is>
          <t>DLP-MPPA01  000034/2026</t>
        </is>
      </c>
      <c r="K209" s="2" t="n">
        <v>112600686</v>
      </c>
      <c r="L209" s="2" t="inlineStr">
        <is>
          <t>2026-01-19 16:27</t>
        </is>
      </c>
      <c r="M209" s="2" t="inlineStr">
        <is>
          <t>2026-01-21 14:49</t>
        </is>
      </c>
      <c r="N209" s="2" t="inlineStr">
        <is>
          <t>FORMS SUBST DE TRANSFORMADOR</t>
        </is>
      </c>
      <c r="O209" s="2" t="inlineStr">
        <is>
          <t>DOLP-RD-PA</t>
        </is>
      </c>
      <c r="P209" s="2" t="inlineStr">
        <is>
          <t>LIZARDA</t>
        </is>
      </c>
      <c r="Q209" s="2" t="inlineStr">
        <is>
          <t>QUEIMADO</t>
        </is>
      </c>
      <c r="R209" s="2" t="inlineStr">
        <is>
          <t>NÃO IDENTIFICADO</t>
        </is>
      </c>
      <c r="S209" s="2" t="inlineStr">
        <is>
          <t>1442136</t>
        </is>
      </c>
      <c r="T209" s="2" t="n">
        <v>1616964</v>
      </c>
      <c r="U209" s="2" t="inlineStr">
        <is>
          <t>sim</t>
        </is>
      </c>
      <c r="V209" s="2" t="inlineStr">
        <is>
          <t>TRANSFORMADOR</t>
        </is>
      </c>
      <c r="W209" s="2" t="inlineStr">
        <is>
          <t>QUEIMADO POR SOBRECARGA</t>
        </is>
      </c>
      <c r="X209" s="2" t="inlineStr">
        <is>
          <t>TRANSFORMADOR</t>
        </is>
      </c>
      <c r="Y209" s="2" t="inlineStr">
        <is>
          <t>QUEIMADO POR SOBRECARGA</t>
        </is>
      </c>
      <c r="Z209" s="4" t="inlineStr">
        <is>
          <t>SIM</t>
        </is>
      </c>
      <c r="AA209" s="4" t="inlineStr">
        <is>
          <t>leitura caso a caso</t>
        </is>
      </c>
      <c r="AB209" s="4" t="inlineStr">
        <is>
          <t>Fora do indicador: obra não gerada há 198 dias — a prova de material não vai mais chegar.</t>
        </is>
      </c>
      <c r="AC209" s="2" t="inlineStr">
        <is>
          <t>segue ss de 01 trafo de 30 kvar e 01 para raio queimado da rede de 34.500kv  para ser subistituiodo pela equipe de manuitencão acesso livre cliente penalizado 01 equipe que atendeu 082op01 cel, 63992218450/984684885/992093907 favor agilizar o atendimento</t>
        </is>
      </c>
      <c r="AD209" s="2" t="inlineStr">
        <is>
          <t xml:space="preserve">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 
</t>
        </is>
      </c>
    </row>
    <row r="210" ht="30" customHeight="1">
      <c r="A210" s="2" t="inlineStr">
        <is>
          <t>DOLP-RD-PA 00114/2026</t>
        </is>
      </c>
      <c r="B210" s="2" t="inlineStr">
        <is>
          <t>jan</t>
        </is>
      </c>
      <c r="C210" s="8" t="inlineStr">
        <is>
          <t>Sem documento</t>
        </is>
      </c>
      <c r="D210" s="2" t="inlineStr">
        <is>
          <t>Sem obra</t>
        </is>
      </c>
      <c r="E210" s="2" t="inlineStr">
        <is>
          <t>EXPURGO</t>
        </is>
      </c>
      <c r="F210" s="2" t="inlineStr">
        <is>
          <t>OUTROS</t>
        </is>
      </c>
      <c r="G210" s="2" t="inlineStr">
        <is>
          <t>esteira 1.582</t>
        </is>
      </c>
      <c r="H210" s="2" t="inlineStr">
        <is>
          <t>SEM OBRA — PASSADOS 60 DIAS</t>
        </is>
      </c>
      <c r="I210" s="2" t="n">
        <v>5709566006</v>
      </c>
      <c r="J210" s="2" t="inlineStr">
        <is>
          <t>DLP-MLPA02  000008/2026</t>
        </is>
      </c>
      <c r="K210" s="2" t="n">
        <v>112600685</v>
      </c>
      <c r="L210" s="2" t="inlineStr">
        <is>
          <t>2026-01-22 21:15</t>
        </is>
      </c>
      <c r="M210" s="2" t="inlineStr">
        <is>
          <t>2026-01-24 16:50</t>
        </is>
      </c>
      <c r="N210" s="2" t="inlineStr">
        <is>
          <t>FORMS SUBST DE TRANSFORMADOR</t>
        </is>
      </c>
      <c r="O210" s="2" t="inlineStr">
        <is>
          <t>DOLP-RD-PA</t>
        </is>
      </c>
      <c r="P210" s="2" t="inlineStr">
        <is>
          <t>TOCANTINIA</t>
        </is>
      </c>
      <c r="Q210" s="2" t="inlineStr">
        <is>
          <t>QUEIMADO</t>
        </is>
      </c>
      <c r="R210" s="2" t="inlineStr">
        <is>
          <t>VAZAMENTO DE ÓLEO</t>
        </is>
      </c>
      <c r="S210" s="2" t="inlineStr">
        <is>
          <t>389722</t>
        </is>
      </c>
      <c r="T210" s="2" t="n">
        <v>799480</v>
      </c>
      <c r="U210" s="2" t="inlineStr">
        <is>
          <t>sim</t>
        </is>
      </c>
      <c r="V210" s="2" t="n"/>
      <c r="W210" s="2" t="n"/>
      <c r="X210" s="2" t="inlineStr">
        <is>
          <t>TRANSFORMADOR</t>
        </is>
      </c>
      <c r="Y210" s="2" t="inlineStr">
        <is>
          <t>QUEIMADO POR CURTO NA RD</t>
        </is>
      </c>
      <c r="Z210" s="4" t="inlineStr">
        <is>
          <t>SIM</t>
        </is>
      </c>
      <c r="AA210" s="4" t="inlineStr">
        <is>
          <t>leitura caso a caso</t>
        </is>
      </c>
      <c r="AB210" s="4" t="inlineStr">
        <is>
          <t>Fora do indicador: obra não gerada há 195 dias — a prova de material não vai mais chegar.</t>
        </is>
      </c>
      <c r="AC210" s="2" t="inlineStr">
        <is>
          <t>segue nota de trafo, trafo 5709566006, tensao 34500 / 440 V, trafo de 15kva, acesso somente para caminhonete, para raio danificado</t>
        </is>
      </c>
      <c r="AD210" s="2" t="inlineStr">
        <is>
          <t>MEDIDO_ 
EMERGENCIAL_ 
DADOS ATENDIMENTO 
EQUIPE: PALMA05M 
LIDER: ALVARO PEREIRA DE MELO     
CONTATO: 63 9 9295-6812 
DOLP-RD-PA 000114/2026 
DATA ATENDIMENTO: 23/01/2026 
Atenção! 
Não intervenha na rede sem autorização do COI (Centro de Operações Integradas)</t>
        </is>
      </c>
    </row>
    <row r="211" ht="30" customHeight="1">
      <c r="A211" s="2" t="inlineStr">
        <is>
          <t>ENC-RD-PS 00143/2026</t>
        </is>
      </c>
      <c r="B211" s="2" t="inlineStr">
        <is>
          <t>jan</t>
        </is>
      </c>
      <c r="C211" s="8" t="inlineStr">
        <is>
          <t>Sem documento</t>
        </is>
      </c>
      <c r="D211" s="2" t="inlineStr">
        <is>
          <t>Sem obra</t>
        </is>
      </c>
      <c r="E211" s="2" t="inlineStr">
        <is>
          <t>EXPURGO</t>
        </is>
      </c>
      <c r="F211" s="2" t="inlineStr">
        <is>
          <t>QUEIMADO</t>
        </is>
      </c>
      <c r="G211" s="2" t="inlineStr">
        <is>
          <t>esteira 1.582</t>
        </is>
      </c>
      <c r="H211" s="2" t="inlineStr">
        <is>
          <t>SEM OBRA — PASSADOS 60 DIAS</t>
        </is>
      </c>
      <c r="I211" s="2" t="n">
        <v>5730365013</v>
      </c>
      <c r="J211" s="2" t="inlineStr">
        <is>
          <t>ENC-LMPS01  000036/2026</t>
        </is>
      </c>
      <c r="K211" s="2" t="n"/>
      <c r="L211" s="2" t="inlineStr">
        <is>
          <t>2026-01-28 11:46</t>
        </is>
      </c>
      <c r="M211" s="2" t="inlineStr">
        <is>
          <t>2026-01-28 18:40</t>
        </is>
      </c>
      <c r="N211" s="2" t="inlineStr">
        <is>
          <t>FORMS SUBST DE TRANSFORMADOR</t>
        </is>
      </c>
      <c r="O211" s="2" t="inlineStr">
        <is>
          <t>ENC-RD-PS</t>
        </is>
      </c>
      <c r="P211" s="2" t="inlineStr">
        <is>
          <t>PARAISO DO TOCANTINS</t>
        </is>
      </c>
      <c r="Q211" s="2" t="inlineStr">
        <is>
          <t>QUEIMADO</t>
        </is>
      </c>
      <c r="R211" s="2" t="inlineStr">
        <is>
          <t>DESCARGA ATMOSFÉRICA</t>
        </is>
      </c>
      <c r="S211" s="2" t="inlineStr">
        <is>
          <t>482209</t>
        </is>
      </c>
      <c r="T211" s="2" t="n"/>
      <c r="U211" s="2" t="inlineStr">
        <is>
          <t>não</t>
        </is>
      </c>
      <c r="V211" s="2" t="inlineStr">
        <is>
          <t>CONEXAO/JUMPER</t>
        </is>
      </c>
      <c r="W211" s="2" t="inlineStr">
        <is>
          <t>JUMPER BT</t>
        </is>
      </c>
      <c r="X211" s="2" t="n"/>
      <c r="Y211" s="2" t="n"/>
      <c r="Z211" s="4" t="inlineStr">
        <is>
          <t>não</t>
        </is>
      </c>
      <c r="AA211" s="4" t="inlineStr">
        <is>
          <t>leitura caso a caso</t>
        </is>
      </c>
      <c r="AB211" s="4" t="inlineStr">
        <is>
          <t>Fora do indicador: obra não gerada há 189 dias — a prova de material não vai mais chegar.</t>
        </is>
      </c>
      <c r="AC211" s="2" t="inlineStr">
        <is>
          <t>TR 5730365013150KVATENSAO 13800PARA RAIO DANIFICADOS /ACESSO PARA CAMINHAO 163UC PENALIZADAS</t>
        </is>
      </c>
      <c r="AD211" s="2"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212" ht="30" customHeight="1">
      <c r="A212" s="2" t="inlineStr">
        <is>
          <t>ETO-RD-PS 00077/2026</t>
        </is>
      </c>
      <c r="B212" s="2" t="inlineStr">
        <is>
          <t>jan</t>
        </is>
      </c>
      <c r="C212" s="8" t="inlineStr">
        <is>
          <t>Sem documento</t>
        </is>
      </c>
      <c r="D212" s="2" t="inlineStr">
        <is>
          <t>Sem obra</t>
        </is>
      </c>
      <c r="E212" s="2" t="inlineStr">
        <is>
          <t>EXPURGO</t>
        </is>
      </c>
      <c r="F212" s="2" t="inlineStr">
        <is>
          <t>QUEIMADO</t>
        </is>
      </c>
      <c r="G212" s="2" t="inlineStr">
        <is>
          <t>esteira 1.582</t>
        </is>
      </c>
      <c r="H212" s="2" t="inlineStr">
        <is>
          <t>SEM OBRA — PASSADOS 60 DIAS</t>
        </is>
      </c>
      <c r="I212" s="2" t="n">
        <v>5730365013</v>
      </c>
      <c r="J212" s="2" t="inlineStr">
        <is>
          <t>ENC-MPPS01  000021/2026</t>
        </is>
      </c>
      <c r="K212" s="2" t="n"/>
      <c r="L212" s="2" t="inlineStr">
        <is>
          <t>2026-01-29 02:32</t>
        </is>
      </c>
      <c r="M212" s="2" t="inlineStr">
        <is>
          <t>2026-01-29 14:30</t>
        </is>
      </c>
      <c r="N212" s="2" t="inlineStr">
        <is>
          <t>FORMS SUBST DE TRANSFORMADOR</t>
        </is>
      </c>
      <c r="O212" s="2" t="inlineStr">
        <is>
          <t>ETO-RD-PS</t>
        </is>
      </c>
      <c r="P212" s="2" t="inlineStr">
        <is>
          <t>PARAISO DO TOCANTINS</t>
        </is>
      </c>
      <c r="Q212" s="2" t="inlineStr">
        <is>
          <t>QUEIMADO</t>
        </is>
      </c>
      <c r="R212" s="2" t="inlineStr">
        <is>
          <t>NÃO IDENTIFICADO</t>
        </is>
      </c>
      <c r="S212" s="2" t="inlineStr">
        <is>
          <t>i260161</t>
        </is>
      </c>
      <c r="T212" s="2" t="n"/>
      <c r="U212" s="2" t="inlineStr">
        <is>
          <t>não</t>
        </is>
      </c>
      <c r="V212" s="2" t="inlineStr">
        <is>
          <t>CONEXAO/JUMPER</t>
        </is>
      </c>
      <c r="W212" s="2" t="inlineStr">
        <is>
          <t>JUMPER BT</t>
        </is>
      </c>
      <c r="X212" s="2" t="n"/>
      <c r="Y212" s="2" t="n"/>
      <c r="Z212" s="4" t="inlineStr">
        <is>
          <t>não</t>
        </is>
      </c>
      <c r="AA212" s="4" t="inlineStr">
        <is>
          <t>leitura caso a caso</t>
        </is>
      </c>
      <c r="AB212" s="4" t="inlineStr">
        <is>
          <t>Fora do indicador: obra não gerada há 188 dias — a prova de material não vai mais chegar.</t>
        </is>
      </c>
      <c r="AC212" s="2" t="inlineStr">
        <is>
          <t>SEGUE SS PARA SUBSTITUIÇÃO DO TRAFO [5730365013]  NA RDU DE PARAISO</t>
        </is>
      </c>
      <c r="AD212" s="2" t="inlineStr">
        <is>
          <t xml:space="preserve">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 
</t>
        </is>
      </c>
    </row>
    <row r="213" ht="30" customHeight="1">
      <c r="A213" s="2" t="inlineStr">
        <is>
          <t>DG-RD-PO 00164/2026</t>
        </is>
      </c>
      <c r="B213" s="2" t="inlineStr">
        <is>
          <t>fev</t>
        </is>
      </c>
      <c r="C213" s="8" t="inlineStr">
        <is>
          <t>Sem documento</t>
        </is>
      </c>
      <c r="D213" s="2" t="inlineStr">
        <is>
          <t>Sem obra</t>
        </is>
      </c>
      <c r="E213" s="2" t="inlineStr">
        <is>
          <t>EXPURGO</t>
        </is>
      </c>
      <c r="F213" s="2" t="inlineStr">
        <is>
          <t>AVARIADO</t>
        </is>
      </c>
      <c r="G213" s="2" t="inlineStr">
        <is>
          <t>esteira 1.582</t>
        </is>
      </c>
      <c r="H213" s="2" t="inlineStr">
        <is>
          <t>SEM OBRA — PASSADOS 60 DIAS</t>
        </is>
      </c>
      <c r="I213" s="2" t="n">
        <v>5727402001</v>
      </c>
      <c r="J213" s="2" t="inlineStr">
        <is>
          <t>DG-MPPO01  000042/2026</t>
        </is>
      </c>
      <c r="K213" s="2" t="n"/>
      <c r="L213" s="2" t="inlineStr">
        <is>
          <t>2026-02-05 07:21</t>
        </is>
      </c>
      <c r="M213" s="2" t="inlineStr">
        <is>
          <t>2026-02-05 10:40</t>
        </is>
      </c>
      <c r="N213" s="2" t="inlineStr">
        <is>
          <t>FORMS SUBST DE TRANSFORMADOR</t>
        </is>
      </c>
      <c r="O213" s="2" t="inlineStr">
        <is>
          <t>DG-RD-PO</t>
        </is>
      </c>
      <c r="P213" s="2" t="inlineStr">
        <is>
          <t>PORTO NACIONAL</t>
        </is>
      </c>
      <c r="Q213" s="2" t="inlineStr">
        <is>
          <t>QUEIMADO</t>
        </is>
      </c>
      <c r="R213" s="2" t="inlineStr">
        <is>
          <t>VAZAMENTO DE ÓLEO</t>
        </is>
      </c>
      <c r="S213" s="2" t="inlineStr">
        <is>
          <t>448239</t>
        </is>
      </c>
      <c r="T213" s="2" t="n">
        <v>1637874</v>
      </c>
      <c r="U213" s="2" t="inlineStr">
        <is>
          <t>sim</t>
        </is>
      </c>
      <c r="V213" s="2" t="n"/>
      <c r="W213" s="2" t="n"/>
      <c r="X213" s="2" t="n"/>
      <c r="Y213" s="2" t="n"/>
      <c r="Z213" s="4" t="inlineStr">
        <is>
          <t>não</t>
        </is>
      </c>
      <c r="AA213" s="4" t="inlineStr">
        <is>
          <t>leitura caso a caso</t>
        </is>
      </c>
      <c r="AB213" s="4" t="inlineStr">
        <is>
          <t>Fora do indicador: obra não gerada há 181 dias — a prova de material não vai mais chegar.</t>
        </is>
      </c>
      <c r="AC213" s="2" t="inlineStr">
        <is>
          <t>TR 5727402001TRRAFO COM VAZAMENTO DE OLEO JA FOI COLADO NECESSARIO SUBSTITUIÇÃO DO MESMO 75KVA SE POSSIVEL LEVAR 112,5TENSAO 13800 BOA VENTURA</t>
        </is>
      </c>
      <c r="AD213" s="2" t="inlineStr">
        <is>
          <t xml:space="preserve">medido_ 
emergencial_ 
TR 5727402001 
TRRAFO COM VAZAMENTO DE OLEO JA FOI COLADO  
NECESSARIO SUBSTITUIÇÃO DO MESMO  
75KVA  
SE POSSIVEL LEVAR 112,5 
TENSAO  
13800 
 BOA VENTURA 
Trafo atendido na obra 0312600138, obra do priorizador 
</t>
        </is>
      </c>
    </row>
    <row r="214" ht="30" customHeight="1">
      <c r="A214" s="2" t="inlineStr">
        <is>
          <t>ETO-RD-PA 00170/2026</t>
        </is>
      </c>
      <c r="B214" s="2" t="inlineStr">
        <is>
          <t>mar</t>
        </is>
      </c>
      <c r="C214" s="8" t="inlineStr">
        <is>
          <t>Sem documento</t>
        </is>
      </c>
      <c r="D214" s="2" t="inlineStr">
        <is>
          <t>Sem obra</t>
        </is>
      </c>
      <c r="E214" s="2" t="inlineStr">
        <is>
          <t>EXPURGO</t>
        </is>
      </c>
      <c r="F214" s="2" t="inlineStr">
        <is>
          <t>OUTROS</t>
        </is>
      </c>
      <c r="G214" s="2" t="inlineStr">
        <is>
          <t>esteira 1.582</t>
        </is>
      </c>
      <c r="H214" s="2" t="inlineStr">
        <is>
          <t>SEM OBRA — PASSADOS 60 DIAS</t>
        </is>
      </c>
      <c r="I214" s="2" t="n">
        <v>5700248196</v>
      </c>
      <c r="J214" s="2" t="inlineStr">
        <is>
          <t>ETO-RD-PA  001197/2026</t>
        </is>
      </c>
      <c r="K214" s="2" t="n">
        <v>112600710</v>
      </c>
      <c r="L214" s="2" t="inlineStr">
        <is>
          <t>2026-03-16 09:04</t>
        </is>
      </c>
      <c r="M214" s="2" t="inlineStr">
        <is>
          <t>2026-03-16 17:44</t>
        </is>
      </c>
      <c r="N214" s="2" t="inlineStr">
        <is>
          <t>FORMS SUBST DE TRANSFORMADOR</t>
        </is>
      </c>
      <c r="O214" s="2" t="inlineStr">
        <is>
          <t>ETO-RD-PA</t>
        </is>
      </c>
      <c r="P214" s="2" t="inlineStr">
        <is>
          <t>LAGOA DO TOCANTINS</t>
        </is>
      </c>
      <c r="Q214" s="2" t="inlineStr">
        <is>
          <t>QUEIMADO</t>
        </is>
      </c>
      <c r="R214" s="2" t="inlineStr">
        <is>
          <t>NÃO IDENTIFICADO</t>
        </is>
      </c>
      <c r="S214" s="2" t="inlineStr">
        <is>
          <t>896247</t>
        </is>
      </c>
      <c r="T214" s="2" t="n">
        <v>1588016</v>
      </c>
      <c r="U214" s="2" t="inlineStr">
        <is>
          <t>sim</t>
        </is>
      </c>
      <c r="V214" s="2" t="inlineStr">
        <is>
          <t>TRANSFORMADOR</t>
        </is>
      </c>
      <c r="W214" s="2" t="inlineStr">
        <is>
          <t>QUEIMADO POR DESCARGA ATMOSFERICA</t>
        </is>
      </c>
      <c r="X214" s="2" t="inlineStr">
        <is>
          <t>TRANSFORMADOR</t>
        </is>
      </c>
      <c r="Y214" s="2" t="inlineStr">
        <is>
          <t>QUEIMADO POR DESCARGA ATMOSFERICA</t>
        </is>
      </c>
      <c r="Z214" s="4" t="inlineStr">
        <is>
          <t>SIM</t>
        </is>
      </c>
      <c r="AA214" s="4" t="inlineStr">
        <is>
          <t>leitura caso a caso</t>
        </is>
      </c>
      <c r="AB214" s="4" t="inlineStr">
        <is>
          <t>Fora do indicador: obra não gerada há 142 dias — a prova de material não vai mais chegar.</t>
        </is>
      </c>
      <c r="AC214" s="2" t="inlineStr">
        <is>
          <t>segue ss de 01 trafo de 15 kvar e 01 para raio queimado da rede de 34.500kv para ser subistituido pela equipe de manutencão acesso para caminhonete cliente penalizado 01 equipe que atendeu 151op01 cel, 63992629128/984188058 favor agilizar o atendimento</t>
        </is>
      </c>
      <c r="AD214" s="2"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215" ht="30" customHeight="1">
      <c r="A215" s="2" t="inlineStr">
        <is>
          <t>DOLP-RD-PA 00466/2026</t>
        </is>
      </c>
      <c r="B215" s="2" t="inlineStr">
        <is>
          <t>abr</t>
        </is>
      </c>
      <c r="C215" s="8" t="inlineStr">
        <is>
          <t>Sem documento</t>
        </is>
      </c>
      <c r="D215" s="2" t="inlineStr">
        <is>
          <t>Sem obra</t>
        </is>
      </c>
      <c r="E215" s="2" t="inlineStr">
        <is>
          <t>EXPURGO</t>
        </is>
      </c>
      <c r="F215" s="2" t="inlineStr">
        <is>
          <t>AVARIADO</t>
        </is>
      </c>
      <c r="G215" s="2" t="inlineStr">
        <is>
          <t>esteira 1.582</t>
        </is>
      </c>
      <c r="H215" s="2" t="inlineStr">
        <is>
          <t>SEM OBRA — PASSADOS 60 DIAS</t>
        </is>
      </c>
      <c r="I215" s="2" t="n">
        <v>5705081122</v>
      </c>
      <c r="J215" s="2" t="inlineStr">
        <is>
          <t>DLP-MLPA01  000141/2026</t>
        </is>
      </c>
      <c r="K215" s="2" t="n"/>
      <c r="L215" s="2" t="inlineStr">
        <is>
          <t>2026-04-18 22:54</t>
        </is>
      </c>
      <c r="M215" s="2" t="inlineStr">
        <is>
          <t>2026-04-20 18:00</t>
        </is>
      </c>
      <c r="N215" s="2" t="inlineStr">
        <is>
          <t>AVISO DE ANOMALIA</t>
        </is>
      </c>
      <c r="O215" s="2" t="inlineStr">
        <is>
          <t>DOLP-RD-PA</t>
        </is>
      </c>
      <c r="P215" s="2" t="inlineStr">
        <is>
          <t>PALMAS</t>
        </is>
      </c>
      <c r="Q215" s="2" t="inlineStr">
        <is>
          <t>AVARIADO</t>
        </is>
      </c>
      <c r="R215" s="2" t="inlineStr">
        <is>
          <t>VAZAMENTO DE ÓLEO</t>
        </is>
      </c>
      <c r="S215" s="2" t="inlineStr">
        <is>
          <t>0</t>
        </is>
      </c>
      <c r="T215" s="2" t="n">
        <v>0</v>
      </c>
      <c r="U215" s="2" t="inlineStr">
        <is>
          <t>não</t>
        </is>
      </c>
      <c r="V215" s="2" t="n"/>
      <c r="W215" s="2" t="n"/>
      <c r="X215" s="2" t="inlineStr">
        <is>
          <t>CHAVE FACA</t>
        </is>
      </c>
      <c r="Y215" s="2" t="inlineStr">
        <is>
          <t>FALHA EM CONEXAO/LAMINA</t>
        </is>
      </c>
      <c r="Z215" s="4" t="inlineStr">
        <is>
          <t>não</t>
        </is>
      </c>
      <c r="AA215" s="4" t="inlineStr">
        <is>
          <t>leitura caso a caso</t>
        </is>
      </c>
      <c r="AB215" s="4" t="inlineStr">
        <is>
          <t>Fora do indicador: obra não gerada há 109 dias — a prova de material não vai mais chegar.</t>
        </is>
      </c>
      <c r="AC215" s="2" t="inlineStr">
        <is>
          <t>Trafo com vazamento e oleo</t>
        </is>
      </c>
      <c r="AD215" s="2" t="inlineStr">
        <is>
          <t xml:space="preserve">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t>
        </is>
      </c>
    </row>
    <row r="216" ht="30" customHeight="1">
      <c r="A216" s="2" t="inlineStr">
        <is>
          <t>ETO-RD-AG 00492/2026</t>
        </is>
      </c>
      <c r="B216" s="2" t="inlineStr">
        <is>
          <t>mai</t>
        </is>
      </c>
      <c r="C216" s="8" t="inlineStr">
        <is>
          <t>Sem documento</t>
        </is>
      </c>
      <c r="D216" s="2" t="inlineStr">
        <is>
          <t>Sem obra</t>
        </is>
      </c>
      <c r="E216" s="2" t="inlineStr">
        <is>
          <t>EXPURGO</t>
        </is>
      </c>
      <c r="F216" s="2" t="inlineStr">
        <is>
          <t>AVARIADO</t>
        </is>
      </c>
      <c r="G216" s="2" t="inlineStr">
        <is>
          <t>esteira 1.582</t>
        </is>
      </c>
      <c r="H216" s="2" t="inlineStr">
        <is>
          <t>SEM OBRA — PASSADOS 60 DIAS</t>
        </is>
      </c>
      <c r="I216" s="2" t="n">
        <v>5700014081</v>
      </c>
      <c r="J216" s="2" t="inlineStr">
        <is>
          <t>ENC-MPAG01  000191/2026</t>
        </is>
      </c>
      <c r="K216" s="2" t="n"/>
      <c r="L216" s="2" t="inlineStr">
        <is>
          <t>2026-05-09 12:00</t>
        </is>
      </c>
      <c r="M216" s="2" t="inlineStr">
        <is>
          <t>2026-05-10 16:53</t>
        </is>
      </c>
      <c r="N216" s="2" t="inlineStr">
        <is>
          <t>AVISO DE ANOMALIA</t>
        </is>
      </c>
      <c r="O216" s="2" t="inlineStr">
        <is>
          <t>ETO-RD-AG</t>
        </is>
      </c>
      <c r="P216" s="2" t="inlineStr">
        <is>
          <t>ITAGUATINS</t>
        </is>
      </c>
      <c r="Q216" s="2" t="inlineStr">
        <is>
          <t>SOBRECARGA PREVENTIVA</t>
        </is>
      </c>
      <c r="R216" s="2" t="inlineStr">
        <is>
          <t>VAZAMENTO DE ÓLEO</t>
        </is>
      </c>
      <c r="S216" s="2" t="inlineStr">
        <is>
          <t>368025</t>
        </is>
      </c>
      <c r="T216" s="2" t="n">
        <v>249949</v>
      </c>
      <c r="U216" s="2" t="inlineStr">
        <is>
          <t>sim</t>
        </is>
      </c>
      <c r="V216" s="2" t="inlineStr">
        <is>
          <t>NIVEL DE TENSAO</t>
        </is>
      </c>
      <c r="W216" s="2" t="inlineStr">
        <is>
          <t>REGULARIZADO-DEFEITO EM EQUIPAMENTO (TRAFO, CAPACITOR,REGULADOR)</t>
        </is>
      </c>
      <c r="X216" s="2" t="n"/>
      <c r="Y216" s="2" t="n"/>
      <c r="Z216" s="4" t="inlineStr">
        <is>
          <t>não</t>
        </is>
      </c>
      <c r="AA216" s="4" t="inlineStr">
        <is>
          <t>leitura caso a caso</t>
        </is>
      </c>
      <c r="AB216" s="4" t="inlineStr">
        <is>
          <t>Fora do indicador: obra não gerada há 88 dias — a prova de material não vai mais chegar.</t>
        </is>
      </c>
      <c r="AC216" s="2" t="inlineStr">
        <is>
          <t>Segue SS para trocar transformador 5700014081 com vazemento de Oleo Potencia 25 KVA 7.9 KVAcesso livreendereço: IND LOTEAMENTO PROJETO DE ASSENTAMENTO REIS, 0 - RUA 01</t>
        </is>
      </c>
      <c r="AD216" s="2" t="inlineStr">
        <is>
          <t>Segue SS para trocar transformador 5700014081 com vazemento de Oleo  
Potencia 25 KVA  
7.9 KV 
Acesso livre 
endereço: IND LOTEAMENTO PROJETO DE ASSENTAMENTO REIS, 0 - RUA 01</t>
        </is>
      </c>
    </row>
    <row r="217" ht="60" customHeight="1">
      <c r="A217" s="2" t="inlineStr">
        <is>
          <t>DOLP-RD-PA 00690/2026</t>
        </is>
      </c>
      <c r="B217" s="2" t="inlineStr">
        <is>
          <t>jun</t>
        </is>
      </c>
      <c r="C217" s="9" t="inlineStr">
        <is>
          <t>Não houve troca</t>
        </is>
      </c>
      <c r="D217" s="2" t="inlineStr">
        <is>
          <t>SS duplicada</t>
        </is>
      </c>
      <c r="E217" s="2" t="inlineStr">
        <is>
          <t>EXPURGO</t>
        </is>
      </c>
      <c r="F217" s="2" t="inlineStr">
        <is>
          <t>QUEIMADO</t>
        </is>
      </c>
      <c r="G217" s="2" t="inlineStr">
        <is>
          <t>esteira 1.582</t>
        </is>
      </c>
      <c r="H217" s="2" t="inlineStr">
        <is>
          <t>SS DUPLICADA</t>
        </is>
      </c>
      <c r="I217" s="2" t="n">
        <v>5746904092</v>
      </c>
      <c r="J217" s="2" t="inlineStr">
        <is>
          <t>DLP-MLPA01  000170/2026</t>
        </is>
      </c>
      <c r="K217" s="2" t="n">
        <v>112600583</v>
      </c>
      <c r="L217" s="2" t="inlineStr">
        <is>
          <t>2026-06-19 22:00</t>
        </is>
      </c>
      <c r="M217" s="2" t="inlineStr">
        <is>
          <t>2026-06-20 18:00</t>
        </is>
      </c>
      <c r="N217" s="2" t="inlineStr">
        <is>
          <t>FORMS SUBST DE TRANSFORMADOR</t>
        </is>
      </c>
      <c r="O217" s="2" t="inlineStr">
        <is>
          <t>DOLP-RD-PA</t>
        </is>
      </c>
      <c r="P217" s="2" t="inlineStr">
        <is>
          <t>NOVO ACORDO</t>
        </is>
      </c>
      <c r="Q217" s="2" t="inlineStr">
        <is>
          <t>QUEIMADO</t>
        </is>
      </c>
      <c r="R217" s="2" t="inlineStr">
        <is>
          <t>NÃO IDENTIFICADO</t>
        </is>
      </c>
      <c r="S217" s="2" t="inlineStr">
        <is>
          <t>N/A</t>
        </is>
      </c>
      <c r="T217" s="2" t="n"/>
      <c r="U217" s="2" t="inlineStr">
        <is>
          <t>não</t>
        </is>
      </c>
      <c r="V217" s="2" t="inlineStr">
        <is>
          <t>TRANSFORMADOR</t>
        </is>
      </c>
      <c r="W217" s="2" t="inlineStr">
        <is>
          <t>QUEIMADO POR CAUSA NAO IDENTIFICADA</t>
        </is>
      </c>
      <c r="X217" s="2" t="n"/>
      <c r="Y217" s="2" t="n"/>
      <c r="Z217" s="4" t="inlineStr">
        <is>
          <t>SIM</t>
        </is>
      </c>
      <c r="AA217" s="4" t="inlineStr">
        <is>
          <t>leitura caso a caso</t>
        </is>
      </c>
      <c r="AB217" s="4" t="inlineStr">
        <is>
          <t>Fora do indicador: divide o mesmo evento e o mesmo transformador com DOLP-RD-PA 00686/2026 — a interrupção prova uma troca, não duas.</t>
        </is>
      </c>
      <c r="AC217" s="2" t="inlineStr">
        <is>
          <t>segue ss de 01 trafo de 25 kvar da rede de 34,500kv queimado para ser subistituido pela equipe de manutencão acesso  para caminhonete cliente penalizado  01 equipe que atendeu 092op01 chave de referencia 5746904092</t>
        </is>
      </c>
      <c r="AD217" s="2" t="inlineStr">
        <is>
          <t>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t>
        </is>
      </c>
    </row>
    <row r="218" ht="30" customHeight="1">
      <c r="A218" s="2" t="inlineStr">
        <is>
          <t>ETO-RD-AR 00757/2026</t>
        </is>
      </c>
      <c r="B218" s="2" t="inlineStr">
        <is>
          <t>abr</t>
        </is>
      </c>
      <c r="C218" s="9" t="inlineStr">
        <is>
          <t>Não houve troca</t>
        </is>
      </c>
      <c r="D218" s="2" t="inlineStr">
        <is>
          <t>Sem troca</t>
        </is>
      </c>
      <c r="E218" s="2" t="inlineStr">
        <is>
          <t>EXPURGO</t>
        </is>
      </c>
      <c r="F218" s="2" t="inlineStr">
        <is>
          <t>CONSTRUCAO</t>
        </is>
      </c>
      <c r="G218" s="2" t="inlineStr">
        <is>
          <t>esteira 1.582</t>
        </is>
      </c>
      <c r="H218" s="2" t="inlineStr">
        <is>
          <t>SEM TROCA (NÃO SUBSTITUÍDO)</t>
        </is>
      </c>
      <c r="I218" s="2" t="n">
        <v>5701196040</v>
      </c>
      <c r="J218" s="2" t="inlineStr">
        <is>
          <t>ENC-MLAR03  000060/2026</t>
        </is>
      </c>
      <c r="K218" s="2" t="n">
        <v>612600476</v>
      </c>
      <c r="L218" s="2" t="inlineStr">
        <is>
          <t>2026-04-28 10:38</t>
        </is>
      </c>
      <c r="M218" s="2" t="inlineStr">
        <is>
          <t>2026-04-29 17:00</t>
        </is>
      </c>
      <c r="N218" s="2" t="inlineStr">
        <is>
          <t>FORMS SUBST DE TRANSFORMADOR</t>
        </is>
      </c>
      <c r="O218" s="2" t="inlineStr">
        <is>
          <t>ETO-RD-AR</t>
        </is>
      </c>
      <c r="P218" s="2" t="inlineStr">
        <is>
          <t>ARAGOMINAS</t>
        </is>
      </c>
      <c r="Q218" s="2" t="inlineStr">
        <is>
          <t>FURTADO</t>
        </is>
      </c>
      <c r="R218" s="2" t="inlineStr">
        <is>
          <t>FURTADO</t>
        </is>
      </c>
      <c r="S218" s="2" t="inlineStr">
        <is>
          <t>S/N</t>
        </is>
      </c>
      <c r="T218" s="2" t="n">
        <v>828162</v>
      </c>
      <c r="U218" s="2" t="inlineStr">
        <is>
          <t>sim</t>
        </is>
      </c>
      <c r="V218" s="2" t="n"/>
      <c r="W218" s="2" t="n"/>
      <c r="X218" s="2" t="n"/>
      <c r="Y218" s="2" t="n"/>
      <c r="Z218" s="4" t="inlineStr">
        <is>
          <t>não</t>
        </is>
      </c>
      <c r="AA218" s="4" t="inlineStr">
        <is>
          <t>leitura caso a caso</t>
        </is>
      </c>
      <c r="AB218" s="4" t="inlineStr">
        <is>
          <t>Fora do indicador: a SS está gravada no sistema como construcao.</t>
        </is>
      </c>
      <c r="AC218" s="2" t="inlineStr">
        <is>
          <t>Bom dia!Senhores, enviar equipe de manutenção para instalar trafo 5701196040 5kva 34,5kv.uc: 3691029 Fazenda dois irmãosunidade estava destiva trafo foi retirado, cliente solicitou uma nova ligação</t>
        </is>
      </c>
      <c r="AD218" s="2" t="inlineStr">
        <is>
          <t xml:space="preserve">ETO-RD-AR 757/2026 
TRAFO 5701196040 
TRAFO INSTALADO 
POTÊNCIA : 25 KVA 
TENSÃO :	 34.5 KV 
Nº ENERGISA (CITD) : 150439 
Nº DE SÉRIE : 828162 
MARCA : TRAEL 
DATA FABRICAÇÃO : 02/2026 
IMPEDANCIA : 3,0 
POS. TAP : 05 
</t>
        </is>
      </c>
    </row>
    <row r="219" ht="30" customHeight="1">
      <c r="A219" s="2" t="inlineStr">
        <is>
          <t>ENC-RD-PS 00508/2026</t>
        </is>
      </c>
      <c r="B219" s="2" t="inlineStr">
        <is>
          <t>mai</t>
        </is>
      </c>
      <c r="C219" s="9" t="inlineStr">
        <is>
          <t>Não houve troca</t>
        </is>
      </c>
      <c r="D219" s="2" t="inlineStr">
        <is>
          <t>Sem troca</t>
        </is>
      </c>
      <c r="E219" s="2" t="inlineStr">
        <is>
          <t>EXPURGO</t>
        </is>
      </c>
      <c r="F219" s="2" t="inlineStr">
        <is>
          <t>DESATIVACAO</t>
        </is>
      </c>
      <c r="G219" s="2" t="inlineStr">
        <is>
          <t>esteira 1.582</t>
        </is>
      </c>
      <c r="H219" s="2" t="inlineStr">
        <is>
          <t>SEM TROCA (NÃO SUBSTITUÍDO)</t>
        </is>
      </c>
      <c r="I219" s="2" t="n">
        <v>5700211073</v>
      </c>
      <c r="J219" s="2" t="inlineStr">
        <is>
          <t>ENC-LMPS01  000122/2026</t>
        </is>
      </c>
      <c r="K219" s="2" t="n">
        <v>212600477</v>
      </c>
      <c r="L219" s="2" t="inlineStr">
        <is>
          <t>2026-05-12 17:15</t>
        </is>
      </c>
      <c r="M219" s="2" t="inlineStr">
        <is>
          <t>2026-05-13 17:07</t>
        </is>
      </c>
      <c r="N219" s="2" t="inlineStr">
        <is>
          <t>AVISO DE ANOMALIA</t>
        </is>
      </c>
      <c r="O219" s="2" t="inlineStr">
        <is>
          <t>ENC-RD-PS</t>
        </is>
      </c>
      <c r="P219" s="2" t="inlineStr">
        <is>
          <t>LAGOA DA CONFUSAO</t>
        </is>
      </c>
      <c r="Q219" s="2" t="inlineStr">
        <is>
          <t>POSTE</t>
        </is>
      </c>
      <c r="R219" s="2" t="inlineStr">
        <is>
          <t>NÃO IDENTIFICADO</t>
        </is>
      </c>
      <c r="S219" s="2" t="inlineStr">
        <is>
          <t>186272</t>
        </is>
      </c>
      <c r="T219" s="2" t="n"/>
      <c r="U219" s="2" t="inlineStr">
        <is>
          <t>não</t>
        </is>
      </c>
      <c r="V219" s="2" t="n"/>
      <c r="W219" s="2" t="n"/>
      <c r="X219" s="2" t="n"/>
      <c r="Y219" s="2" t="n"/>
      <c r="Z219" s="4" t="inlineStr">
        <is>
          <t>não</t>
        </is>
      </c>
      <c r="AA219" s="4" t="inlineStr">
        <is>
          <t>leitura caso a caso</t>
        </is>
      </c>
      <c r="AB219" s="4" t="inlineStr">
        <is>
          <t>Fora do indicador: o texto declara desativação do posto de transformação.</t>
        </is>
      </c>
      <c r="AC219" s="2" t="inlineStr">
        <is>
          <t>DESATIVAÇÃO DE TRANSFORMADOR ABANDONADO, SEM CONSUMIDOR NO LOCAL.</t>
        </is>
      </c>
      <c r="AD219" s="2" t="inlineStr">
        <is>
          <t xml:space="preserve">SS ENC-RD-PS 508/2026   DESATIVAÇÃO DE TRANSFORMADOR ABANDONADO, SEM CONSUMIDOR NO LOCAL. 
TRAFO: 5700211073 
TRAFO RETIRADO 
POTÊNCIA : 30KVA 
TENSÃO :	 34.5KV 
Nº ENERGISA (CITD) : ILEGIVEL 
Nº DE SÉRIE : 186272 
MARCA : ABB 
DATA FABRICAÇÃO : 08/2002 
IMPEDANCIA : 3.95 
POS. TAP : 02 
</t>
        </is>
      </c>
    </row>
    <row r="220" ht="30" customHeight="1">
      <c r="A220" s="2" t="inlineStr">
        <is>
          <t>DOLP-RD-PA 00652/2026</t>
        </is>
      </c>
      <c r="B220" s="2" t="inlineStr">
        <is>
          <t>jun</t>
        </is>
      </c>
      <c r="C220" s="9" t="inlineStr">
        <is>
          <t>Não houve troca</t>
        </is>
      </c>
      <c r="D220" s="2" t="inlineStr">
        <is>
          <t>Sem troca</t>
        </is>
      </c>
      <c r="E220" s="2" t="inlineStr">
        <is>
          <t>EXPURGO</t>
        </is>
      </c>
      <c r="F220" s="2" t="inlineStr">
        <is>
          <t>DESATIVACAO</t>
        </is>
      </c>
      <c r="G220" s="2" t="inlineStr">
        <is>
          <t>esteira 1.582</t>
        </is>
      </c>
      <c r="H220" s="2" t="inlineStr">
        <is>
          <t>SEM TROCA (NÃO SUBSTITUÍDO)</t>
        </is>
      </c>
      <c r="I220" s="2" t="n">
        <v>5701422122</v>
      </c>
      <c r="J220" s="2" t="inlineStr">
        <is>
          <t>DLP-MPPA01  000194/2026</t>
        </is>
      </c>
      <c r="K220" s="2" t="n">
        <v>112600592</v>
      </c>
      <c r="L220" s="2" t="inlineStr">
        <is>
          <t>2026-06-09 10:46</t>
        </is>
      </c>
      <c r="M220" s="2" t="inlineStr">
        <is>
          <t>2026-06-09 17:00</t>
        </is>
      </c>
      <c r="N220" s="2" t="inlineStr">
        <is>
          <t>SOLICITAÇÃO DE SERVIÇO</t>
        </is>
      </c>
      <c r="O220" s="2" t="inlineStr">
        <is>
          <t>DOLP-RD-PA</t>
        </is>
      </c>
      <c r="P220" s="2" t="inlineStr">
        <is>
          <t>PALMAS</t>
        </is>
      </c>
      <c r="Q220" s="2" t="n"/>
      <c r="R220" s="2" t="n"/>
      <c r="S220" s="2" t="inlineStr">
        <is>
          <t>291738</t>
        </is>
      </c>
      <c r="T220" s="2" t="n">
        <v>0</v>
      </c>
      <c r="U220" s="2" t="inlineStr">
        <is>
          <t>não</t>
        </is>
      </c>
      <c r="V220" s="2" t="n"/>
      <c r="W220" s="2" t="n"/>
      <c r="X220" s="2" t="n"/>
      <c r="Y220" s="2" t="n"/>
      <c r="Z220" s="4" t="inlineStr">
        <is>
          <t>não</t>
        </is>
      </c>
      <c r="AA220" s="4" t="inlineStr">
        <is>
          <t>leitura caso a caso</t>
        </is>
      </c>
      <c r="AB220" s="4" t="inlineStr">
        <is>
          <t>Fora do indicador: a SS está gravada no sistema como desativacao.</t>
        </is>
      </c>
      <c r="AC220" s="2" t="inlineStr">
        <is>
          <t>Desativar posto de transformação, pois o mesmo está deteriorando com as ações do tempo.</t>
        </is>
      </c>
      <c r="AD220" s="2"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221" ht="135" customHeight="1">
      <c r="A221" s="2" t="inlineStr">
        <is>
          <t>ETO-RD-AG 00735/2026</t>
        </is>
      </c>
      <c r="B221" s="2" t="inlineStr">
        <is>
          <t>jul</t>
        </is>
      </c>
      <c r="C221" s="9" t="inlineStr">
        <is>
          <t>Não houve troca</t>
        </is>
      </c>
      <c r="D221" s="2" t="inlineStr">
        <is>
          <t>Sem troca</t>
        </is>
      </c>
      <c r="E221" s="2" t="inlineStr">
        <is>
          <t>EXPURGO</t>
        </is>
      </c>
      <c r="F221" s="2" t="inlineStr">
        <is>
          <t>AVARIADO</t>
        </is>
      </c>
      <c r="G221" s="2" t="inlineStr">
        <is>
          <t>leitura do texto (jan–ago)</t>
        </is>
      </c>
      <c r="H221" s="2" t="inlineStr">
        <is>
          <t>SEM TROCA (NÃO SUBSTITUÍDO)</t>
        </is>
      </c>
      <c r="I221" s="2" t="n">
        <v>5700085133</v>
      </c>
      <c r="J221" s="2" t="inlineStr">
        <is>
          <t>ETO-RD-AG  000932/2026</t>
        </is>
      </c>
      <c r="K221" s="2" t="n"/>
      <c r="L221" s="2" t="inlineStr">
        <is>
          <t>2026-07-16 16:20</t>
        </is>
      </c>
      <c r="M221" s="2" t="inlineStr">
        <is>
          <t>2026-09-04 06:44</t>
        </is>
      </c>
      <c r="N221" s="2" t="inlineStr">
        <is>
          <t>AVISO DE ANOMALIA</t>
        </is>
      </c>
      <c r="O221" s="2" t="inlineStr">
        <is>
          <t>ETO-RD-AG</t>
        </is>
      </c>
      <c r="P221" s="2" t="inlineStr">
        <is>
          <t>CARRASCO BONITO</t>
        </is>
      </c>
      <c r="Q221" s="2" t="inlineStr">
        <is>
          <t>SOBRECARGA PREVENTIVA</t>
        </is>
      </c>
      <c r="R221" s="2" t="inlineStr">
        <is>
          <t>SOBRECARGA</t>
        </is>
      </c>
      <c r="S221" s="2" t="n"/>
      <c r="T221" s="2" t="n"/>
      <c r="U221" s="2" t="inlineStr">
        <is>
          <t>não</t>
        </is>
      </c>
      <c r="V221" s="2" t="n"/>
      <c r="W221" s="2" t="n"/>
      <c r="X221" s="2" t="n"/>
      <c r="Y221" s="2" t="n"/>
      <c r="Z221" s="4" t="inlineStr">
        <is>
          <t>não</t>
        </is>
      </c>
      <c r="AA221" s="4" t="inlineStr">
        <is>
          <t>leitura caso a caso</t>
        </is>
      </c>
      <c r="AB221" s="4"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c r="AC221" s="2" t="inlineStr">
        <is>
          <t>SUBSTITUIR Transformador 5700085133 danificado com a bucha do secundário danificada e com vazamento de óleo.</t>
        </is>
      </c>
      <c r="AD221" s="2" t="inlineStr">
        <is>
          <t>PLANO DE MEDIDA - Realizar substituição do trafo 5700085133  de 15 kVA para 25 kVA - DIRECIONAR PARA PROJETO 8385</t>
        </is>
      </c>
    </row>
    <row r="222" ht="105" customHeight="1">
      <c r="A222" s="2" t="inlineStr">
        <is>
          <t>ETO-RD-AG 00755/2026</t>
        </is>
      </c>
      <c r="B222" s="2" t="inlineStr">
        <is>
          <t>jul</t>
        </is>
      </c>
      <c r="C222" s="9" t="inlineStr">
        <is>
          <t>Não houve troca</t>
        </is>
      </c>
      <c r="D222" s="2" t="inlineStr">
        <is>
          <t>Sem troca</t>
        </is>
      </c>
      <c r="E222" s="2" t="inlineStr">
        <is>
          <t>EXPURGO</t>
        </is>
      </c>
      <c r="F222" s="2" t="inlineStr">
        <is>
          <t>AVARIADO</t>
        </is>
      </c>
      <c r="G222" s="2" t="inlineStr">
        <is>
          <t>leitura do texto (jan–ago)</t>
        </is>
      </c>
      <c r="H222" s="2" t="inlineStr">
        <is>
          <t>SEM TROCA (NÃO SUBSTITUÍDO)</t>
        </is>
      </c>
      <c r="I222" s="2" t="n">
        <v>5719958068</v>
      </c>
      <c r="J222" s="2" t="inlineStr">
        <is>
          <t>ETO-RD-AG  000668/2026</t>
        </is>
      </c>
      <c r="K222" s="2" t="n">
        <v>662600468</v>
      </c>
      <c r="L222" s="2" t="inlineStr">
        <is>
          <t>2026-07-22 13:11</t>
        </is>
      </c>
      <c r="M222" s="2" t="inlineStr">
        <is>
          <t>2026-07-24 07:50</t>
        </is>
      </c>
      <c r="N222" s="2" t="inlineStr">
        <is>
          <t>AVISO DE ANOMALIA</t>
        </is>
      </c>
      <c r="O222" s="2" t="inlineStr">
        <is>
          <t>ETO-RD-AG</t>
        </is>
      </c>
      <c r="P222" s="2" t="inlineStr">
        <is>
          <t>BURITI DO TOCANTINS</t>
        </is>
      </c>
      <c r="Q222" s="2" t="inlineStr">
        <is>
          <t>SOBRECARGA PREVENTIVA</t>
        </is>
      </c>
      <c r="R222" s="2" t="inlineStr">
        <is>
          <t>VAZAMENTO DE ÓLEO</t>
        </is>
      </c>
      <c r="S222" s="2" t="n"/>
      <c r="T222" s="2" t="n"/>
      <c r="U222" s="2" t="inlineStr">
        <is>
          <t>não</t>
        </is>
      </c>
      <c r="V222" s="2" t="n"/>
      <c r="W222" s="2" t="n"/>
      <c r="X222" s="2" t="n"/>
      <c r="Y222" s="2" t="n"/>
      <c r="Z222" s="4" t="inlineStr">
        <is>
          <t>não</t>
        </is>
      </c>
      <c r="AA222" s="4" t="inlineStr">
        <is>
          <t>leitura caso a caso</t>
        </is>
      </c>
      <c r="AB222" s="4"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c r="AC222" s="2" t="inlineStr">
        <is>
          <t>Segue SS para correção de vazamento de oleo no trafo 5719958068.</t>
        </is>
      </c>
      <c r="AD222" s="2" t="inlineStr">
        <is>
          <t>PLANO DE MEDIDA - Relaizar substituição do trafo 5719958068 de 15KVA para 25KVA - Direcionar serviço para o projeto SIGCO 25983.</t>
        </is>
      </c>
    </row>
    <row r="223" ht="165" customHeight="1">
      <c r="A223" s="2" t="inlineStr">
        <is>
          <t>ETO-RD-AR 01051/2026</t>
        </is>
      </c>
      <c r="B223" s="2" t="inlineStr">
        <is>
          <t>jul</t>
        </is>
      </c>
      <c r="C223" s="9" t="inlineStr">
        <is>
          <t>Não houve troca</t>
        </is>
      </c>
      <c r="D223" s="2" t="inlineStr">
        <is>
          <t>Sem troca</t>
        </is>
      </c>
      <c r="E223" s="2" t="inlineStr">
        <is>
          <t>EXPURGO</t>
        </is>
      </c>
      <c r="F223" s="2" t="inlineStr">
        <is>
          <t>PREVENTIVO</t>
        </is>
      </c>
      <c r="G223" s="2" t="inlineStr">
        <is>
          <t>leitura do texto (jan–ago)</t>
        </is>
      </c>
      <c r="H223" s="2" t="inlineStr">
        <is>
          <t>SEM TROCA (NÃO SUBSTITUÍDO)</t>
        </is>
      </c>
      <c r="I223" s="2" t="n">
        <v>5703676004</v>
      </c>
      <c r="J223" s="2" t="inlineStr">
        <is>
          <t>ENC-MLAR01  000252/2026</t>
        </is>
      </c>
      <c r="K223" s="2" t="n">
        <v>612600662</v>
      </c>
      <c r="L223" s="2" t="inlineStr">
        <is>
          <t>2026-07-02 12:58</t>
        </is>
      </c>
      <c r="M223" s="2" t="inlineStr">
        <is>
          <t>2026-07-02 21:45</t>
        </is>
      </c>
      <c r="N223" s="2" t="inlineStr">
        <is>
          <t>AVISO DE ANOMALIA</t>
        </is>
      </c>
      <c r="O223" s="2" t="inlineStr">
        <is>
          <t>ETO-RD-AR</t>
        </is>
      </c>
      <c r="P223" s="2" t="inlineStr">
        <is>
          <t>ARAGUAINA</t>
        </is>
      </c>
      <c r="Q223" s="2" t="inlineStr">
        <is>
          <t>QUEIMADO</t>
        </is>
      </c>
      <c r="R223" s="2" t="inlineStr">
        <is>
          <t>BUCHA DANIFICADA</t>
        </is>
      </c>
      <c r="S223" s="2" t="inlineStr">
        <is>
          <t>388043</t>
        </is>
      </c>
      <c r="T223" s="2" t="n">
        <v>515195</v>
      </c>
      <c r="U223" s="2" t="inlineStr">
        <is>
          <t>sim</t>
        </is>
      </c>
      <c r="V223" s="2" t="n"/>
      <c r="W223" s="2" t="n"/>
      <c r="X223" s="2" t="n"/>
      <c r="Y223" s="2" t="n"/>
      <c r="Z223" s="4" t="inlineStr">
        <is>
          <t>não</t>
        </is>
      </c>
      <c r="AA223" s="4" t="inlineStr">
        <is>
          <t>leitura caso a caso</t>
        </is>
      </c>
      <c r="AB223" s="4"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c r="AC223" s="2" t="inlineStr">
        <is>
          <t>boa tarde!Segue SS para substituir trafo 5703676004 150 kva na RDU de Araguaina, mesmo queimado bucha secundaria da fase A</t>
        </is>
      </c>
      <c r="AD223" s="2" t="inlineStr">
        <is>
          <t>ETO-RD-AR 1051/2026 
TRAFO 5703676004 
NÃO FOI REALIZADA A TROCA DO TRANSFORMADOR, POIS O EQUIPAMENTO NÃO ESTAVA QUEIMADO. FOI EXECUTADO APENAS MANUTENÇÃO CORRETIVA, INCLUINDO A SUBSTITUIÇÃO DOS PARA-RAIOS E A MEDIÇÃO DO ATERRAMENTO.</t>
        </is>
      </c>
    </row>
    <row r="224" ht="120" customHeight="1">
      <c r="A224" s="2" t="inlineStr">
        <is>
          <t>DG-RD-PO 00526/2026</t>
        </is>
      </c>
      <c r="B224" s="2" t="inlineStr">
        <is>
          <t>ago</t>
        </is>
      </c>
      <c r="C224" s="9" t="inlineStr">
        <is>
          <t>Não houve troca</t>
        </is>
      </c>
      <c r="D224" s="2" t="inlineStr">
        <is>
          <t>Sem troca</t>
        </is>
      </c>
      <c r="E224" s="2" t="inlineStr">
        <is>
          <t>EXPURGO</t>
        </is>
      </c>
      <c r="F224" s="2" t="inlineStr">
        <is>
          <t>AVARIADO</t>
        </is>
      </c>
      <c r="G224" s="2" t="inlineStr">
        <is>
          <t>leitura do texto (jan–ago)</t>
        </is>
      </c>
      <c r="H224" s="2" t="inlineStr">
        <is>
          <t>SEM TROCA (NÃO SUBSTITUÍDO)</t>
        </is>
      </c>
      <c r="I224" s="2" t="n">
        <v>5700004152</v>
      </c>
      <c r="J224" s="2" t="inlineStr">
        <is>
          <t>DG-RD-PO  000008/2026</t>
        </is>
      </c>
      <c r="K224" s="2" t="n"/>
      <c r="L224" s="2" t="inlineStr">
        <is>
          <t>2026-08-27 18:22</t>
        </is>
      </c>
      <c r="M224" s="2" t="inlineStr">
        <is>
          <t>2026-08-28 10:00</t>
        </is>
      </c>
      <c r="N224" s="2" t="inlineStr">
        <is>
          <t>AVISO DE ANOMALIA</t>
        </is>
      </c>
      <c r="O224" s="2" t="inlineStr">
        <is>
          <t>DG-RD-PO</t>
        </is>
      </c>
      <c r="P224" s="2" t="inlineStr">
        <is>
          <t>SANTA ROSA DO TOCANTINS</t>
        </is>
      </c>
      <c r="Q224" s="2" t="inlineStr">
        <is>
          <t>AVARIADO</t>
        </is>
      </c>
      <c r="R224" s="2" t="inlineStr">
        <is>
          <t>VAZAMENTO DE ÓLEO</t>
        </is>
      </c>
      <c r="S224" s="2" t="inlineStr">
        <is>
          <t>1</t>
        </is>
      </c>
      <c r="T224" s="2" t="n">
        <v>1</v>
      </c>
      <c r="U224" s="2" t="inlineStr">
        <is>
          <t>não</t>
        </is>
      </c>
      <c r="V224" s="2" t="n"/>
      <c r="W224" s="2" t="n"/>
      <c r="X224" s="2" t="n"/>
      <c r="Y224" s="2" t="n"/>
      <c r="Z224" s="4" t="inlineStr">
        <is>
          <t>não</t>
        </is>
      </c>
      <c r="AA224" s="4" t="inlineStr">
        <is>
          <t>leitura caso a caso</t>
        </is>
      </c>
      <c r="AB224" s="4"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c r="AC224" s="2" t="inlineStr">
        <is>
          <t>Segue SS de TR 5700004152 150KVA/34.5KV com vazamento de óleo para devidas tratativas com equipe de manutenção.RDU Santa Rosa152OP01  63 98402-9495</t>
        </is>
      </c>
      <c r="AD224" s="2" t="inlineStr">
        <is>
          <t xml:space="preserve">Segue SS de TR 5700004152 150KVA/34.5KV com vazamento de óleo para devidas tratativas com equipe de manutenção. 
RDU Santa Rosa 
152OP01  63 98402-9495 
FOI O REPARO COM COLA E FITA E INSTALDO O P600 
</t>
        </is>
      </c>
    </row>
    <row r="225" ht="105" customHeight="1">
      <c r="A225" s="2" t="inlineStr">
        <is>
          <t>DOLP-RD-PA 00791/2026</t>
        </is>
      </c>
      <c r="B225" s="2" t="inlineStr">
        <is>
          <t>ago</t>
        </is>
      </c>
      <c r="C225" s="9" t="inlineStr">
        <is>
          <t>Não houve troca</t>
        </is>
      </c>
      <c r="D225" s="2" t="inlineStr">
        <is>
          <t>Sem troca</t>
        </is>
      </c>
      <c r="E225" s="2" t="inlineStr">
        <is>
          <t>EXPURGO</t>
        </is>
      </c>
      <c r="F225" s="2" t="inlineStr">
        <is>
          <t>QUEIMADO</t>
        </is>
      </c>
      <c r="G225" s="2" t="inlineStr">
        <is>
          <t>leitura do texto (jan–ago)</t>
        </is>
      </c>
      <c r="H225" s="2" t="inlineStr">
        <is>
          <t>SEM TROCA (NÃO SUBSTITUÍDO)</t>
        </is>
      </c>
      <c r="I225" s="2" t="n">
        <v>5707542122</v>
      </c>
      <c r="J225" s="2" t="inlineStr">
        <is>
          <t>DLP-MLPA02  000117/2026</t>
        </is>
      </c>
      <c r="K225" s="2" t="n"/>
      <c r="L225" s="2" t="inlineStr">
        <is>
          <t>2026-08-02 15:39</t>
        </is>
      </c>
      <c r="M225" s="2" t="inlineStr">
        <is>
          <t>2026-08-03 18:00</t>
        </is>
      </c>
      <c r="N225" s="2" t="inlineStr">
        <is>
          <t>FORMS SUBST DE TRANSFORMADOR</t>
        </is>
      </c>
      <c r="O225" s="2" t="inlineStr">
        <is>
          <t>DOLP-RD-PA</t>
        </is>
      </c>
      <c r="P225" s="2" t="inlineStr">
        <is>
          <t>PALMAS</t>
        </is>
      </c>
      <c r="Q225" s="2" t="inlineStr">
        <is>
          <t>QUEIMADO</t>
        </is>
      </c>
      <c r="R225" s="2" t="inlineStr">
        <is>
          <t>NÃO IDENTIFICADO</t>
        </is>
      </c>
      <c r="S225" s="2" t="inlineStr">
        <is>
          <t>00</t>
        </is>
      </c>
      <c r="T225" s="2" t="n">
        <v>0</v>
      </c>
      <c r="U225" s="2" t="inlineStr">
        <is>
          <t>não</t>
        </is>
      </c>
      <c r="V225" s="2" t="inlineStr">
        <is>
          <t>TRANSFORMADOR</t>
        </is>
      </c>
      <c r="W225" s="2" t="inlineStr">
        <is>
          <t>CABO ATERRAMENTO PARTIDO</t>
        </is>
      </c>
      <c r="X225" s="2" t="inlineStr">
        <is>
          <t>TRANSFORMADOR</t>
        </is>
      </c>
      <c r="Y225" s="2" t="inlineStr">
        <is>
          <t>CABO ATERRAMENTO PARTIDO</t>
        </is>
      </c>
      <c r="Z225" s="4" t="inlineStr">
        <is>
          <t>não</t>
        </is>
      </c>
      <c r="AA225" s="4" t="inlineStr">
        <is>
          <t>leitura caso a caso</t>
        </is>
      </c>
      <c r="AB225" s="4"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c r="AC225" s="2" t="inlineStr">
        <is>
          <t>Segue SS Para substituição de trafo queimado Trafo/ 5707542122  Pontencia 15KVA Monofásico tensão / 19,9 Paraio BomAcesso livre para camionete.Chacara racho do vale Unidade/ 28174951telefone equipe 122OP40 62 98468094</t>
        </is>
      </c>
      <c r="AD225" s="2"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226" ht="105" customHeight="1">
      <c r="A226" s="2" t="inlineStr">
        <is>
          <t>DOLP-RD-PA 00826/2026</t>
        </is>
      </c>
      <c r="B226" s="2" t="inlineStr">
        <is>
          <t>ago</t>
        </is>
      </c>
      <c r="C226" s="9" t="inlineStr">
        <is>
          <t>Não houve troca</t>
        </is>
      </c>
      <c r="D226" s="2" t="inlineStr">
        <is>
          <t>Sem troca</t>
        </is>
      </c>
      <c r="E226" s="2" t="inlineStr">
        <is>
          <t>EXPURGO</t>
        </is>
      </c>
      <c r="F226" s="2" t="inlineStr">
        <is>
          <t>AVARIADO</t>
        </is>
      </c>
      <c r="G226" s="2" t="inlineStr">
        <is>
          <t>leitura do texto (jan–ago)</t>
        </is>
      </c>
      <c r="H226" s="2" t="inlineStr">
        <is>
          <t>SEM TROCA (NÃO SUBSTITUÍDO)</t>
        </is>
      </c>
      <c r="I226" s="2" t="n">
        <v>5721380010</v>
      </c>
      <c r="J226" s="2" t="inlineStr">
        <is>
          <t>DLP-MLPA02  000145/2026</t>
        </is>
      </c>
      <c r="K226" s="2" t="n">
        <v>112600773</v>
      </c>
      <c r="L226" s="2" t="inlineStr">
        <is>
          <t>2026-08-11 15:53</t>
        </is>
      </c>
      <c r="M226" s="2" t="inlineStr">
        <is>
          <t>2026-08-13 18:00</t>
        </is>
      </c>
      <c r="N226" s="2" t="inlineStr">
        <is>
          <t>AVISO DE ANOMALIA</t>
        </is>
      </c>
      <c r="O226" s="2" t="inlineStr">
        <is>
          <t>DOLP-RD-PA</t>
        </is>
      </c>
      <c r="P226" s="2" t="inlineStr">
        <is>
          <t>LAJEADO</t>
        </is>
      </c>
      <c r="Q226" s="2" t="inlineStr">
        <is>
          <t>AVARIADO</t>
        </is>
      </c>
      <c r="R226" s="2" t="inlineStr">
        <is>
          <t>NÃO IDENTIFICADO</t>
        </is>
      </c>
      <c r="S226" s="2" t="inlineStr">
        <is>
          <t>372509</t>
        </is>
      </c>
      <c r="T226" s="2" t="n">
        <v>0</v>
      </c>
      <c r="U226" s="2" t="inlineStr">
        <is>
          <t>não</t>
        </is>
      </c>
      <c r="V226" s="2" t="n"/>
      <c r="W226" s="2" t="n"/>
      <c r="X226" s="2" t="n"/>
      <c r="Y226" s="2" t="n"/>
      <c r="Z226" s="4" t="inlineStr">
        <is>
          <t>não</t>
        </is>
      </c>
      <c r="AA226" s="4" t="inlineStr">
        <is>
          <t>leitura caso a caso</t>
        </is>
      </c>
      <c r="AB226" s="4"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c r="AC226" s="2"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AD226" s="2"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227" ht="105" customHeight="1">
      <c r="A227" s="2" t="inlineStr">
        <is>
          <t>DOLP-RD-PA 00827/2026</t>
        </is>
      </c>
      <c r="B227" s="2" t="inlineStr">
        <is>
          <t>ago</t>
        </is>
      </c>
      <c r="C227" s="9" t="inlineStr">
        <is>
          <t>Não houve troca</t>
        </is>
      </c>
      <c r="D227" s="2" t="inlineStr">
        <is>
          <t>Sem troca</t>
        </is>
      </c>
      <c r="E227" s="2" t="inlineStr">
        <is>
          <t>EXPURGO</t>
        </is>
      </c>
      <c r="F227" s="2" t="inlineStr">
        <is>
          <t>PREVENTIVO</t>
        </is>
      </c>
      <c r="G227" s="2" t="inlineStr">
        <is>
          <t>leitura do texto (jan–ago)</t>
        </is>
      </c>
      <c r="H227" s="2" t="inlineStr">
        <is>
          <t>SEM TROCA (NÃO SUBSTITUÍDO)</t>
        </is>
      </c>
      <c r="I227" s="2" t="n">
        <v>5710348122</v>
      </c>
      <c r="J227" s="2" t="inlineStr">
        <is>
          <t>DLP-MPPA01  000276/2026</t>
        </is>
      </c>
      <c r="K227" s="2" t="n"/>
      <c r="L227" s="2" t="inlineStr">
        <is>
          <t>2026-08-11 20:39</t>
        </is>
      </c>
      <c r="M227" s="2" t="inlineStr">
        <is>
          <t>2026-08-12 18:00</t>
        </is>
      </c>
      <c r="N227" s="2" t="inlineStr">
        <is>
          <t>FORMS SUBST DE TRANSFORMADOR</t>
        </is>
      </c>
      <c r="O227" s="2" t="inlineStr">
        <is>
          <t>DOLP-RD-PA</t>
        </is>
      </c>
      <c r="P227" s="2" t="inlineStr">
        <is>
          <t>PALMAS</t>
        </is>
      </c>
      <c r="Q227" s="2" t="inlineStr">
        <is>
          <t>QUEIMADO</t>
        </is>
      </c>
      <c r="R227" s="2" t="inlineStr">
        <is>
          <t>NÃO IDENTIFICADO</t>
        </is>
      </c>
      <c r="S227" s="2" t="inlineStr">
        <is>
          <t>00</t>
        </is>
      </c>
      <c r="T227" s="2" t="n">
        <v>0</v>
      </c>
      <c r="U227" s="2" t="inlineStr">
        <is>
          <t>não</t>
        </is>
      </c>
      <c r="V227" s="2" t="inlineStr">
        <is>
          <t>TRANSFORMADOR</t>
        </is>
      </c>
      <c r="W227" s="2" t="inlineStr">
        <is>
          <t>QUEIMADO POR CAUSA NAO IDENTIFICADA</t>
        </is>
      </c>
      <c r="X227" s="2" t="inlineStr">
        <is>
          <t>TRANSFORMADOR</t>
        </is>
      </c>
      <c r="Y227" s="2" t="inlineStr">
        <is>
          <t>QUEIMADO POR CAUSA NAO IDENTIFICADA</t>
        </is>
      </c>
      <c r="Z227" s="4" t="inlineStr">
        <is>
          <t>não</t>
        </is>
      </c>
      <c r="AA227" s="4" t="inlineStr">
        <is>
          <t>leitura caso a caso</t>
        </is>
      </c>
      <c r="AB227" s="4"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c r="AC227" s="2" t="inlineStr">
        <is>
          <t>Segue SS para substituição de transformador queimado Trafo  5710348122 Monofásico.Pontencia : 25 kVA tensão :  11.9 loteamento coquerinho</t>
        </is>
      </c>
      <c r="AD227" s="2" t="inlineStr">
        <is>
          <t xml:space="preserve">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 
</t>
        </is>
      </c>
    </row>
    <row r="228" ht="165" customHeight="1">
      <c r="A228" s="2" t="inlineStr">
        <is>
          <t>ETO-RD-AG 00813/2026</t>
        </is>
      </c>
      <c r="B228" s="2" t="inlineStr">
        <is>
          <t>ago</t>
        </is>
      </c>
      <c r="C228" s="9" t="inlineStr">
        <is>
          <t>Não houve troca</t>
        </is>
      </c>
      <c r="D228" s="2" t="inlineStr">
        <is>
          <t>Sem troca</t>
        </is>
      </c>
      <c r="E228" s="2" t="inlineStr">
        <is>
          <t>EXPURGO</t>
        </is>
      </c>
      <c r="F228" s="2" t="inlineStr">
        <is>
          <t>AVARIADO</t>
        </is>
      </c>
      <c r="G228" s="2" t="inlineStr">
        <is>
          <t>leitura do texto (jan–ago)</t>
        </is>
      </c>
      <c r="H228" s="2" t="inlineStr">
        <is>
          <t>SEM TROCA (NÃO SUBSTITUÍDO)</t>
        </is>
      </c>
      <c r="I228" s="2" t="n">
        <v>5700565065</v>
      </c>
      <c r="J228" s="2" t="inlineStr">
        <is>
          <t>ETO-RD-AG  000730/2026</t>
        </is>
      </c>
      <c r="K228" s="2" t="n">
        <v>662600493</v>
      </c>
      <c r="L228" s="2" t="inlineStr">
        <is>
          <t>2026-08-04 17:52</t>
        </is>
      </c>
      <c r="M228" s="2" t="inlineStr">
        <is>
          <t>2026-08-04 18:38</t>
        </is>
      </c>
      <c r="N228" s="2" t="inlineStr">
        <is>
          <t>AVISO DE ANOMALIA</t>
        </is>
      </c>
      <c r="O228" s="2" t="inlineStr">
        <is>
          <t>ETO-RD-AG</t>
        </is>
      </c>
      <c r="P228" s="2" t="inlineStr">
        <is>
          <t>AXIXA DO TOCANTINS</t>
        </is>
      </c>
      <c r="Q228" s="2" t="inlineStr">
        <is>
          <t>SOBRECARGA PREVENTIVA</t>
        </is>
      </c>
      <c r="R228" s="2" t="inlineStr">
        <is>
          <t>VAZAMENTO DE ÓLEO</t>
        </is>
      </c>
      <c r="S228" s="2" t="n"/>
      <c r="T228" s="2" t="n"/>
      <c r="U228" s="2" t="inlineStr">
        <is>
          <t>não</t>
        </is>
      </c>
      <c r="V228" s="2" t="inlineStr">
        <is>
          <t>TRANSFORMADOR</t>
        </is>
      </c>
      <c r="W228" s="2" t="inlineStr">
        <is>
          <t>VAZAMENTO DE OLEO / TANQUE DETERIORADO</t>
        </is>
      </c>
      <c r="X228" s="2" t="inlineStr">
        <is>
          <t>TRANSFORMADOR</t>
        </is>
      </c>
      <c r="Y228" s="2" t="inlineStr">
        <is>
          <t>VAZAMENTO DE OLEO / TANQUE DETERIORADO</t>
        </is>
      </c>
      <c r="Z228" s="4" t="inlineStr">
        <is>
          <t>não</t>
        </is>
      </c>
      <c r="AA228" s="4" t="inlineStr">
        <is>
          <t>leitura caso a caso</t>
        </is>
      </c>
      <c r="AB228" s="4"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c r="AC228" s="2" t="inlineStr">
        <is>
          <t>SEGUE SS PARA SUBSTITUIR TRAFO 5700565065 NA RDR DE AXIXAR COM VAZAMENTO DE OLÉO NA REGIÃO DO PA STA JULIANA</t>
        </is>
      </c>
      <c r="AD228" s="2" t="inlineStr">
        <is>
          <t>SEGUE SS PARA SUBSTITUIR TRAFO 5700565065 NA RDR DE AXIXAR COM VAZAMENTO DE OLÉO NA REGIÃO DO PA STA JULIANA 
PLANO DE MEDIDA - Realizar substituição do trafo 5700565065 de 5 kVA para 15 kVA. DIRECIONAR PARA O PROJETO SIGCO 25983.</t>
        </is>
      </c>
    </row>
  </sheetData>
  <autoFilter ref="A1:AD2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2026-09-10T20:13:00Z</dcterms:created>
  <dcterms:modified xmlns:dcterms="http://purl.org/dc/terms/" xmlns:xsi="http://www.w3.org/2001/XMLSchema-instance" xsi:type="dcterms:W3CDTF">2026-09-15T18:41:22Z</dcterms:modified>
  <cp:lastModifiedBy>Matheus Alves da Silva</cp:lastModifiedBy>
</cp:coreProperties>
</file>